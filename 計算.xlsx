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183e9d89349eda/Documents/GITHUB/1．円錐でオリフィスをふさぐ/"/>
    </mc:Choice>
  </mc:AlternateContent>
  <xr:revisionPtr revIDLastSave="403" documentId="8_{040A8E72-79A3-4FC3-B981-67AC525385FE}" xr6:coauthVersionLast="47" xr6:coauthVersionMax="47" xr10:uidLastSave="{562907A1-F8C0-447E-A1AB-E2AEB8189420}"/>
  <bookViews>
    <workbookView xWindow="-110" yWindow="-110" windowWidth="19420" windowHeight="10300" xr2:uid="{53B468CC-BC97-4D51-B86F-6F5D3904110C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7" i="1" l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6" i="1"/>
  <c r="C8" i="1"/>
  <c r="F13" i="1"/>
  <c r="E13" i="1"/>
  <c r="E11" i="1"/>
  <c r="F4" i="1"/>
  <c r="E4" i="1"/>
  <c r="F2" i="1"/>
  <c r="E2" i="1"/>
  <c r="N2" i="1" l="1"/>
  <c r="C9" i="1"/>
  <c r="C10" i="1"/>
  <c r="C11" i="1"/>
  <c r="C15" i="1"/>
  <c r="P236" i="1" s="1"/>
  <c r="C13" i="1"/>
  <c r="P90" i="1" l="1"/>
  <c r="P34" i="1"/>
  <c r="P387" i="1"/>
  <c r="P11" i="1"/>
  <c r="P198" i="1"/>
  <c r="P40" i="1"/>
  <c r="P52" i="1"/>
  <c r="P41" i="1"/>
  <c r="P47" i="1"/>
  <c r="P207" i="1"/>
  <c r="P245" i="1"/>
  <c r="P125" i="1"/>
  <c r="P500" i="1"/>
  <c r="P162" i="1"/>
  <c r="P234" i="1"/>
  <c r="P137" i="1"/>
  <c r="P58" i="1"/>
  <c r="P219" i="1"/>
  <c r="P371" i="1"/>
  <c r="P126" i="1"/>
  <c r="P260" i="1"/>
  <c r="P88" i="1"/>
  <c r="P173" i="1"/>
  <c r="P59" i="1"/>
  <c r="P144" i="1"/>
  <c r="P339" i="1"/>
  <c r="P475" i="1"/>
  <c r="P185" i="1"/>
  <c r="P142" i="1"/>
  <c r="P12" i="1"/>
  <c r="P263" i="1"/>
  <c r="P286" i="1"/>
  <c r="C16" i="1"/>
  <c r="C24" i="1" s="1"/>
  <c r="P213" i="1"/>
  <c r="P226" i="1"/>
  <c r="P270" i="1"/>
  <c r="P273" i="1"/>
  <c r="P290" i="1"/>
  <c r="P320" i="1"/>
  <c r="P334" i="1"/>
  <c r="P337" i="1"/>
  <c r="P341" i="1"/>
  <c r="P370" i="1"/>
  <c r="P385" i="1"/>
  <c r="P408" i="1"/>
  <c r="P426" i="1"/>
  <c r="P474" i="1"/>
  <c r="P478" i="1"/>
  <c r="P481" i="1"/>
  <c r="P485" i="1"/>
  <c r="P504" i="1"/>
  <c r="P20" i="1"/>
  <c r="P44" i="1"/>
  <c r="P67" i="1"/>
  <c r="P91" i="1"/>
  <c r="P112" i="1"/>
  <c r="P139" i="1"/>
  <c r="P161" i="1"/>
  <c r="P182" i="1"/>
  <c r="P201" i="1"/>
  <c r="P6" i="1"/>
  <c r="P218" i="1"/>
  <c r="P240" i="1"/>
  <c r="P253" i="1"/>
  <c r="P298" i="1"/>
  <c r="P324" i="1"/>
  <c r="P235" i="1"/>
  <c r="P257" i="1"/>
  <c r="P267" i="1"/>
  <c r="P278" i="1"/>
  <c r="P281" i="1"/>
  <c r="P302" i="1"/>
  <c r="P308" i="1"/>
  <c r="P332" i="1"/>
  <c r="P382" i="1"/>
  <c r="P416" i="1"/>
  <c r="P450" i="1"/>
  <c r="P494" i="1"/>
  <c r="P497" i="1"/>
  <c r="P27" i="1"/>
  <c r="P50" i="1"/>
  <c r="P73" i="1"/>
  <c r="P97" i="1"/>
  <c r="P117" i="1"/>
  <c r="P145" i="1"/>
  <c r="P169" i="1"/>
  <c r="P187" i="1"/>
  <c r="P224" i="1"/>
  <c r="P254" i="1"/>
  <c r="P279" i="1"/>
  <c r="P309" i="1"/>
  <c r="P312" i="1"/>
  <c r="P354" i="1"/>
  <c r="P358" i="1"/>
  <c r="P361" i="1"/>
  <c r="P365" i="1"/>
  <c r="P380" i="1"/>
  <c r="P444" i="1"/>
  <c r="P490" i="1"/>
  <c r="P502" i="1"/>
  <c r="P32" i="1"/>
  <c r="P56" i="1"/>
  <c r="P79" i="1"/>
  <c r="P103" i="1"/>
  <c r="P127" i="1"/>
  <c r="P148" i="1"/>
  <c r="P172" i="1"/>
  <c r="P194" i="1"/>
  <c r="P211" i="1"/>
  <c r="P221" i="1"/>
  <c r="P276" i="1"/>
  <c r="P330" i="1"/>
  <c r="P344" i="1"/>
  <c r="P378" i="1"/>
  <c r="P392" i="1"/>
  <c r="P401" i="1"/>
  <c r="P414" i="1"/>
  <c r="P418" i="1"/>
  <c r="P436" i="1"/>
  <c r="P458" i="1"/>
  <c r="P473" i="1"/>
  <c r="P33" i="1"/>
  <c r="P65" i="1"/>
  <c r="P93" i="1"/>
  <c r="P128" i="1"/>
  <c r="P159" i="1"/>
  <c r="P184" i="1"/>
  <c r="P232" i="1"/>
  <c r="P262" i="1"/>
  <c r="P299" i="1"/>
  <c r="P326" i="1"/>
  <c r="P243" i="1"/>
  <c r="P248" i="1"/>
  <c r="P277" i="1"/>
  <c r="P346" i="1"/>
  <c r="P374" i="1"/>
  <c r="P386" i="1"/>
  <c r="P406" i="1"/>
  <c r="P425" i="1"/>
  <c r="P429" i="1"/>
  <c r="P433" i="1"/>
  <c r="P482" i="1"/>
  <c r="P492" i="1"/>
  <c r="P506" i="1"/>
  <c r="P14" i="1"/>
  <c r="P46" i="1"/>
  <c r="P81" i="1"/>
  <c r="P115" i="1"/>
  <c r="P149" i="1"/>
  <c r="P181" i="1"/>
  <c r="P228" i="1"/>
  <c r="P283" i="1"/>
  <c r="P296" i="1"/>
  <c r="P336" i="1"/>
  <c r="P356" i="1"/>
  <c r="P402" i="1"/>
  <c r="P410" i="1"/>
  <c r="P454" i="1"/>
  <c r="P468" i="1"/>
  <c r="P15" i="1"/>
  <c r="P51" i="1"/>
  <c r="P84" i="1"/>
  <c r="P116" i="1"/>
  <c r="P151" i="1"/>
  <c r="P183" i="1"/>
  <c r="P440" i="1"/>
  <c r="P488" i="1"/>
  <c r="P19" i="1"/>
  <c r="P55" i="1"/>
  <c r="P85" i="1"/>
  <c r="P121" i="1"/>
  <c r="P188" i="1"/>
  <c r="P297" i="1"/>
  <c r="P342" i="1"/>
  <c r="P398" i="1"/>
  <c r="P434" i="1"/>
  <c r="P446" i="1"/>
  <c r="P25" i="1"/>
  <c r="P57" i="1"/>
  <c r="P86" i="1"/>
  <c r="P122" i="1"/>
  <c r="P160" i="1"/>
  <c r="P189" i="1"/>
  <c r="P291" i="1"/>
  <c r="P353" i="1"/>
  <c r="P388" i="1"/>
  <c r="P422" i="1"/>
  <c r="P430" i="1"/>
  <c r="P464" i="1"/>
  <c r="P26" i="1"/>
  <c r="P63" i="1"/>
  <c r="P249" i="1"/>
  <c r="P313" i="1"/>
  <c r="P157" i="1"/>
  <c r="P212" i="1"/>
  <c r="P280" i="1"/>
  <c r="P289" i="1"/>
  <c r="P340" i="1"/>
  <c r="P372" i="1"/>
  <c r="P377" i="1"/>
  <c r="P498" i="1"/>
  <c r="P505" i="1"/>
  <c r="P68" i="1"/>
  <c r="P111" i="1"/>
  <c r="P171" i="1"/>
  <c r="P104" i="1"/>
  <c r="P164" i="1"/>
  <c r="P275" i="1"/>
  <c r="P348" i="1"/>
  <c r="P360" i="1"/>
  <c r="P366" i="1"/>
  <c r="P396" i="1"/>
  <c r="P428" i="1"/>
  <c r="P442" i="1"/>
  <c r="P7" i="1"/>
  <c r="P69" i="1"/>
  <c r="P129" i="1"/>
  <c r="P174" i="1"/>
  <c r="P208" i="1"/>
  <c r="P306" i="1"/>
  <c r="P384" i="1"/>
  <c r="P390" i="1"/>
  <c r="P449" i="1"/>
  <c r="P466" i="1"/>
  <c r="P13" i="1"/>
  <c r="P77" i="1"/>
  <c r="P133" i="1"/>
  <c r="P175" i="1"/>
  <c r="P216" i="1"/>
  <c r="P329" i="1"/>
  <c r="P404" i="1"/>
  <c r="P409" i="1"/>
  <c r="P461" i="1"/>
  <c r="P480" i="1"/>
  <c r="P486" i="1"/>
  <c r="P28" i="1"/>
  <c r="P78" i="1"/>
  <c r="P134" i="1"/>
  <c r="P176" i="1"/>
  <c r="P322" i="1"/>
  <c r="P501" i="1"/>
  <c r="P31" i="1"/>
  <c r="P80" i="1"/>
  <c r="P135" i="1"/>
  <c r="P177" i="1"/>
  <c r="P264" i="1"/>
  <c r="P350" i="1"/>
  <c r="P368" i="1"/>
  <c r="P456" i="1"/>
  <c r="P37" i="1"/>
  <c r="P92" i="1"/>
  <c r="P140" i="1"/>
  <c r="P195" i="1"/>
  <c r="P294" i="1"/>
  <c r="P301" i="1"/>
  <c r="P362" i="1"/>
  <c r="P462" i="1"/>
  <c r="P38" i="1"/>
  <c r="P99" i="1"/>
  <c r="P141" i="1"/>
  <c r="P251" i="1"/>
  <c r="P310" i="1"/>
  <c r="P39" i="1"/>
  <c r="P146" i="1"/>
  <c r="P197" i="1"/>
  <c r="P272" i="1"/>
  <c r="P295" i="1"/>
  <c r="P381" i="1"/>
  <c r="P394" i="1"/>
  <c r="P438" i="1"/>
  <c r="P452" i="1"/>
  <c r="P457" i="1"/>
  <c r="P470" i="1"/>
  <c r="P43" i="1"/>
  <c r="P147" i="1"/>
  <c r="P199" i="1"/>
  <c r="P265" i="1"/>
  <c r="P311" i="1"/>
  <c r="P338" i="1"/>
  <c r="P413" i="1"/>
  <c r="P432" i="1"/>
  <c r="P45" i="1"/>
  <c r="P105" i="1"/>
  <c r="P163" i="1"/>
  <c r="P200" i="1"/>
  <c r="P246" i="1"/>
  <c r="P64" i="1"/>
  <c r="P109" i="1"/>
  <c r="P333" i="1"/>
  <c r="P196" i="1"/>
  <c r="P102" i="1"/>
  <c r="P477" i="1"/>
  <c r="P227" i="1"/>
  <c r="P66" i="1"/>
  <c r="P110" i="1"/>
  <c r="P170" i="1"/>
  <c r="P484" i="1"/>
  <c r="P420" i="1"/>
  <c r="P471" i="1"/>
  <c r="P327" i="1"/>
  <c r="P391" i="1"/>
  <c r="P318" i="1"/>
  <c r="P256" i="1"/>
  <c r="P261" i="1"/>
  <c r="P288" i="1"/>
  <c r="P405" i="1"/>
  <c r="P247" i="1"/>
  <c r="P445" i="1"/>
  <c r="P238" i="1"/>
  <c r="P328" i="1"/>
  <c r="P407" i="1"/>
  <c r="P168" i="1"/>
  <c r="P60" i="1"/>
  <c r="P191" i="1"/>
  <c r="P83" i="1"/>
  <c r="P35" i="1"/>
  <c r="P130" i="1"/>
  <c r="P54" i="1"/>
  <c r="P76" i="1"/>
  <c r="P53" i="1"/>
  <c r="P87" i="1"/>
  <c r="P206" i="1"/>
  <c r="P158" i="1"/>
  <c r="P447" i="1"/>
  <c r="P503" i="1"/>
  <c r="P412" i="1"/>
  <c r="P269" i="1"/>
  <c r="P292" i="1"/>
  <c r="P487" i="1"/>
  <c r="P325" i="1"/>
  <c r="P215" i="1"/>
  <c r="P400" i="1"/>
  <c r="P359" i="1"/>
  <c r="P108" i="1"/>
  <c r="P465" i="1"/>
  <c r="P423" i="1"/>
  <c r="P321" i="1"/>
  <c r="P357" i="1"/>
  <c r="P496" i="1"/>
  <c r="P305" i="1"/>
  <c r="P443" i="1"/>
  <c r="P230" i="1"/>
  <c r="P448" i="1"/>
  <c r="P316" i="1"/>
  <c r="P383" i="1"/>
  <c r="P239" i="1"/>
  <c r="P271" i="1"/>
  <c r="P120" i="1"/>
  <c r="P48" i="1"/>
  <c r="P131" i="1"/>
  <c r="P106" i="1"/>
  <c r="P18" i="1"/>
  <c r="P17" i="1"/>
  <c r="P16" i="1"/>
  <c r="P75" i="1"/>
  <c r="P98" i="1"/>
  <c r="P439" i="1"/>
  <c r="P229" i="1"/>
  <c r="P231" i="1"/>
  <c r="P284" i="1"/>
  <c r="P441" i="1"/>
  <c r="P463" i="1"/>
  <c r="P479" i="1"/>
  <c r="P209" i="1"/>
  <c r="P364" i="1"/>
  <c r="P493" i="1"/>
  <c r="P499" i="1"/>
  <c r="P389" i="1"/>
  <c r="P266" i="1"/>
  <c r="P427" i="1"/>
  <c r="P424" i="1"/>
  <c r="P352" i="1"/>
  <c r="P335" i="1"/>
  <c r="P233" i="1"/>
  <c r="P179" i="1"/>
  <c r="P71" i="1"/>
  <c r="P23" i="1"/>
  <c r="P42" i="1"/>
  <c r="P152" i="1"/>
  <c r="P343" i="1"/>
  <c r="P205" i="1"/>
  <c r="P369" i="1"/>
  <c r="P153" i="1"/>
  <c r="P469" i="1"/>
  <c r="P403" i="1"/>
  <c r="P373" i="1"/>
  <c r="P259" i="1"/>
  <c r="P61" i="1"/>
  <c r="P165" i="1"/>
  <c r="P472" i="1"/>
  <c r="P363" i="1"/>
  <c r="P293" i="1"/>
  <c r="P304" i="1"/>
  <c r="P210" i="1"/>
  <c r="P258" i="1"/>
  <c r="P393" i="1"/>
  <c r="P49" i="1"/>
  <c r="P21" i="1"/>
  <c r="P314" i="1"/>
  <c r="P241" i="1"/>
  <c r="P467" i="1"/>
  <c r="P411" i="1"/>
  <c r="P483" i="1"/>
  <c r="P282" i="1"/>
  <c r="P274" i="1"/>
  <c r="P323" i="1"/>
  <c r="P455" i="1"/>
  <c r="P180" i="1"/>
  <c r="P166" i="1"/>
  <c r="P22" i="1"/>
  <c r="P94" i="1"/>
  <c r="P113" i="1"/>
  <c r="P70" i="1"/>
  <c r="P417" i="1"/>
  <c r="P9" i="1"/>
  <c r="P225" i="1"/>
  <c r="P349" i="1"/>
  <c r="P242" i="1"/>
  <c r="P244" i="1"/>
  <c r="P431" i="1"/>
  <c r="P287" i="1"/>
  <c r="P107" i="1"/>
  <c r="P186" i="1"/>
  <c r="P101" i="1"/>
  <c r="P89" i="1"/>
  <c r="P74" i="1"/>
  <c r="P345" i="1"/>
  <c r="P375" i="1"/>
  <c r="P214" i="1"/>
  <c r="P489" i="1"/>
  <c r="P347" i="1"/>
  <c r="P397" i="1"/>
  <c r="P376" i="1"/>
  <c r="P317" i="1"/>
  <c r="P252" i="1"/>
  <c r="P156" i="1"/>
  <c r="P72" i="1"/>
  <c r="P10" i="1"/>
  <c r="P150" i="1"/>
  <c r="P8" i="1"/>
  <c r="P476" i="1"/>
  <c r="P460" i="1"/>
  <c r="P491" i="1"/>
  <c r="P421" i="1"/>
  <c r="P395" i="1"/>
  <c r="P237" i="1"/>
  <c r="P268" i="1"/>
  <c r="P167" i="1"/>
  <c r="P95" i="1"/>
  <c r="P154" i="1"/>
  <c r="P138" i="1"/>
  <c r="P136" i="1"/>
  <c r="P30" i="1"/>
  <c r="P351" i="1"/>
  <c r="P451" i="1"/>
  <c r="P331" i="1"/>
  <c r="P255" i="1"/>
  <c r="P379" i="1"/>
  <c r="P217" i="1"/>
  <c r="P250" i="1"/>
  <c r="P300" i="1"/>
  <c r="P155" i="1"/>
  <c r="P114" i="1"/>
  <c r="P100" i="1"/>
  <c r="P123" i="1"/>
  <c r="P367" i="1"/>
  <c r="P453" i="1"/>
  <c r="P285" i="1"/>
  <c r="P132" i="1"/>
  <c r="P193" i="1"/>
  <c r="P82" i="1"/>
  <c r="P437" i="1"/>
  <c r="P178" i="1"/>
  <c r="P315" i="1"/>
  <c r="P419" i="1"/>
  <c r="P202" i="1"/>
  <c r="P303" i="1"/>
  <c r="P435" i="1"/>
  <c r="P36" i="1"/>
  <c r="P220" i="1"/>
  <c r="P307" i="1"/>
  <c r="P355" i="1"/>
  <c r="P203" i="1"/>
  <c r="P124" i="1"/>
  <c r="P62" i="1"/>
  <c r="P190" i="1"/>
  <c r="P192" i="1"/>
  <c r="P24" i="1"/>
  <c r="P119" i="1"/>
  <c r="P222" i="1"/>
  <c r="P319" i="1"/>
  <c r="P415" i="1"/>
  <c r="P29" i="1"/>
  <c r="P118" i="1"/>
  <c r="P96" i="1"/>
  <c r="P204" i="1"/>
  <c r="P459" i="1"/>
  <c r="P223" i="1"/>
  <c r="P399" i="1"/>
  <c r="P143" i="1"/>
  <c r="P495" i="1"/>
  <c r="C14" i="1"/>
  <c r="C19" i="1" s="1"/>
  <c r="C31" i="1"/>
  <c r="C37" i="1" s="1"/>
  <c r="C12" i="1"/>
  <c r="C22" i="1" s="1"/>
  <c r="C23" i="1" l="1"/>
  <c r="C21" i="1"/>
  <c r="O6" i="1"/>
  <c r="N209" i="1"/>
  <c r="O222" i="1"/>
  <c r="O234" i="1"/>
  <c r="O240" i="1"/>
  <c r="O245" i="1"/>
  <c r="N249" i="1"/>
  <c r="O253" i="1"/>
  <c r="N262" i="1"/>
  <c r="O298" i="1"/>
  <c r="N345" i="1"/>
  <c r="N349" i="1"/>
  <c r="O353" i="1"/>
  <c r="O360" i="1"/>
  <c r="N367" i="1"/>
  <c r="N378" i="1"/>
  <c r="N390" i="1"/>
  <c r="N394" i="1"/>
  <c r="N398" i="1"/>
  <c r="N405" i="1"/>
  <c r="N411" i="1"/>
  <c r="Q411" i="1" s="1"/>
  <c r="O423" i="1"/>
  <c r="N430" i="1"/>
  <c r="O438" i="1"/>
  <c r="O442" i="1"/>
  <c r="O446" i="1"/>
  <c r="O453" i="1"/>
  <c r="O459" i="1"/>
  <c r="N464" i="1"/>
  <c r="N467" i="1"/>
  <c r="O471" i="1"/>
  <c r="N501" i="1"/>
  <c r="O28" i="1"/>
  <c r="N230" i="1"/>
  <c r="O249" i="1"/>
  <c r="N257" i="1"/>
  <c r="O262" i="1"/>
  <c r="N278" i="1"/>
  <c r="N281" i="1"/>
  <c r="N286" i="1"/>
  <c r="N295" i="1"/>
  <c r="N302" i="1"/>
  <c r="N311" i="1"/>
  <c r="N328" i="1"/>
  <c r="N215" i="1"/>
  <c r="N227" i="1"/>
  <c r="N231" i="1"/>
  <c r="O246" i="1"/>
  <c r="N271" i="1"/>
  <c r="N287" i="1"/>
  <c r="N291" i="1"/>
  <c r="N299" i="1"/>
  <c r="N321" i="1"/>
  <c r="N325" i="1"/>
  <c r="N329" i="1"/>
  <c r="N335" i="1"/>
  <c r="N338" i="1"/>
  <c r="O342" i="1"/>
  <c r="N346" i="1"/>
  <c r="N350" i="1"/>
  <c r="O368" i="1"/>
  <c r="N386" i="1"/>
  <c r="O402" i="1"/>
  <c r="N406" i="1"/>
  <c r="N409" i="1"/>
  <c r="O412" i="1"/>
  <c r="O424" i="1"/>
  <c r="O434" i="1"/>
  <c r="N439" i="1"/>
  <c r="N443" i="1"/>
  <c r="Q443" i="1" s="1"/>
  <c r="N447" i="1"/>
  <c r="O454" i="1"/>
  <c r="O457" i="1"/>
  <c r="O472" i="1"/>
  <c r="N476" i="1"/>
  <c r="N479" i="1"/>
  <c r="O482" i="1"/>
  <c r="O486" i="1"/>
  <c r="N505" i="1"/>
  <c r="O9" i="1"/>
  <c r="O31" i="1"/>
  <c r="O54" i="1"/>
  <c r="O79" i="1"/>
  <c r="O101" i="1"/>
  <c r="O121" i="1"/>
  <c r="O141" i="1"/>
  <c r="O164" i="1"/>
  <c r="O195" i="1"/>
  <c r="N7" i="1"/>
  <c r="N28" i="1"/>
  <c r="N45" i="1"/>
  <c r="N67" i="1"/>
  <c r="N90" i="1"/>
  <c r="N111" i="1"/>
  <c r="N136" i="1"/>
  <c r="N153" i="1"/>
  <c r="O216" i="1"/>
  <c r="N228" i="1"/>
  <c r="O232" i="1"/>
  <c r="O237" i="1"/>
  <c r="N243" i="1"/>
  <c r="N251" i="1"/>
  <c r="N258" i="1"/>
  <c r="O264" i="1"/>
  <c r="O268" i="1"/>
  <c r="O272" i="1"/>
  <c r="N283" i="1"/>
  <c r="N292" i="1"/>
  <c r="O296" i="1"/>
  <c r="N300" i="1"/>
  <c r="N318" i="1"/>
  <c r="N322" i="1"/>
  <c r="N326" i="1"/>
  <c r="N333" i="1"/>
  <c r="O336" i="1"/>
  <c r="N343" i="1"/>
  <c r="N373" i="1"/>
  <c r="N392" i="1"/>
  <c r="N417" i="1"/>
  <c r="N422" i="1"/>
  <c r="O425" i="1"/>
  <c r="N432" i="1"/>
  <c r="O440" i="1"/>
  <c r="N462" i="1"/>
  <c r="O465" i="1"/>
  <c r="N470" i="1"/>
  <c r="O473" i="1"/>
  <c r="O477" i="1"/>
  <c r="O480" i="1"/>
  <c r="N483" i="1"/>
  <c r="Q483" i="1" s="1"/>
  <c r="N487" i="1"/>
  <c r="N495" i="1"/>
  <c r="N498" i="1"/>
  <c r="O17" i="1"/>
  <c r="O36" i="1"/>
  <c r="O57" i="1"/>
  <c r="O84" i="1"/>
  <c r="O105" i="1"/>
  <c r="O125" i="1"/>
  <c r="O148" i="1"/>
  <c r="O175" i="1"/>
  <c r="O199" i="1"/>
  <c r="N10" i="1"/>
  <c r="N32" i="1"/>
  <c r="N52" i="1"/>
  <c r="N73" i="1"/>
  <c r="N93" i="1"/>
  <c r="N117" i="1"/>
  <c r="N140" i="1"/>
  <c r="N226" i="1"/>
  <c r="N232" i="1"/>
  <c r="N239" i="1"/>
  <c r="N250" i="1"/>
  <c r="N255" i="1"/>
  <c r="N267" i="1"/>
  <c r="N288" i="1"/>
  <c r="N294" i="1"/>
  <c r="N310" i="1"/>
  <c r="O326" i="1"/>
  <c r="N339" i="1"/>
  <c r="O349" i="1"/>
  <c r="O358" i="1"/>
  <c r="O366" i="1"/>
  <c r="O370" i="1"/>
  <c r="N375" i="1"/>
  <c r="N397" i="1"/>
  <c r="N428" i="1"/>
  <c r="N442" i="1"/>
  <c r="O447" i="1"/>
  <c r="N455" i="1"/>
  <c r="N478" i="1"/>
  <c r="N482" i="1"/>
  <c r="N491" i="1"/>
  <c r="N496" i="1"/>
  <c r="O501" i="1"/>
  <c r="O505" i="1"/>
  <c r="O18" i="1"/>
  <c r="O44" i="1"/>
  <c r="O70" i="1"/>
  <c r="O100" i="1"/>
  <c r="O124" i="1"/>
  <c r="O151" i="1"/>
  <c r="O183" i="1"/>
  <c r="N27" i="1"/>
  <c r="N51" i="1"/>
  <c r="N77" i="1"/>
  <c r="N104" i="1"/>
  <c r="N129" i="1"/>
  <c r="N152" i="1"/>
  <c r="N175" i="1"/>
  <c r="Q175" i="1" s="1"/>
  <c r="N200" i="1"/>
  <c r="N207" i="1"/>
  <c r="N246" i="1"/>
  <c r="O281" i="1"/>
  <c r="O294" i="1"/>
  <c r="O310" i="1"/>
  <c r="O321" i="1"/>
  <c r="O339" i="1"/>
  <c r="N6" i="1"/>
  <c r="N217" i="1"/>
  <c r="O228" i="1"/>
  <c r="N254" i="1"/>
  <c r="N296" i="1"/>
  <c r="O325" i="1"/>
  <c r="N336" i="1"/>
  <c r="O351" i="1"/>
  <c r="N356" i="1"/>
  <c r="N369" i="1"/>
  <c r="O382" i="1"/>
  <c r="O392" i="1"/>
  <c r="O397" i="1"/>
  <c r="N402" i="1"/>
  <c r="O410" i="1"/>
  <c r="O445" i="1"/>
  <c r="N454" i="1"/>
  <c r="N488" i="1"/>
  <c r="N497" i="1"/>
  <c r="O502" i="1"/>
  <c r="O16" i="1"/>
  <c r="O45" i="1"/>
  <c r="O75" i="1"/>
  <c r="O109" i="1"/>
  <c r="O129" i="1"/>
  <c r="O162" i="1"/>
  <c r="O198" i="1"/>
  <c r="N15" i="1"/>
  <c r="Q15" i="1" s="1"/>
  <c r="N42" i="1"/>
  <c r="N68" i="1"/>
  <c r="N99" i="1"/>
  <c r="N128" i="1"/>
  <c r="N157" i="1"/>
  <c r="N177" i="1"/>
  <c r="O52" i="1"/>
  <c r="N212" i="1"/>
  <c r="O217" i="1"/>
  <c r="N223" i="1"/>
  <c r="N235" i="1"/>
  <c r="O254" i="1"/>
  <c r="N273" i="1"/>
  <c r="N313" i="1"/>
  <c r="N320" i="1"/>
  <c r="O364" i="1"/>
  <c r="O369" i="1"/>
  <c r="O378" i="1"/>
  <c r="N416" i="1"/>
  <c r="N421" i="1"/>
  <c r="N440" i="1"/>
  <c r="N450" i="1"/>
  <c r="N458" i="1"/>
  <c r="N463" i="1"/>
  <c r="N473" i="1"/>
  <c r="O478" i="1"/>
  <c r="O488" i="1"/>
  <c r="O497" i="1"/>
  <c r="O19" i="1"/>
  <c r="O49" i="1"/>
  <c r="O80" i="1"/>
  <c r="O111" i="1"/>
  <c r="O133" i="1"/>
  <c r="O163" i="1"/>
  <c r="O200" i="1"/>
  <c r="N19" i="1"/>
  <c r="N43" i="1"/>
  <c r="N69" i="1"/>
  <c r="N103" i="1"/>
  <c r="N133" i="1"/>
  <c r="N159" i="1"/>
  <c r="N181" i="1"/>
  <c r="O483" i="1"/>
  <c r="O20" i="1"/>
  <c r="O51" i="1"/>
  <c r="O81" i="1"/>
  <c r="O112" i="1"/>
  <c r="O135" i="1"/>
  <c r="O165" i="1"/>
  <c r="O201" i="1"/>
  <c r="N20" i="1"/>
  <c r="N44" i="1"/>
  <c r="N76" i="1"/>
  <c r="N105" i="1"/>
  <c r="N135" i="1"/>
  <c r="N160" i="1"/>
  <c r="N185" i="1"/>
  <c r="N208" i="1"/>
  <c r="N224" i="1"/>
  <c r="O244" i="1"/>
  <c r="N284" i="1"/>
  <c r="N327" i="1"/>
  <c r="O347" i="1"/>
  <c r="N353" i="1"/>
  <c r="N357" i="1"/>
  <c r="O361" i="1"/>
  <c r="N370" i="1"/>
  <c r="O375" i="1"/>
  <c r="O388" i="1"/>
  <c r="O411" i="1"/>
  <c r="O422" i="1"/>
  <c r="N426" i="1"/>
  <c r="O430" i="1"/>
  <c r="Q430" i="1" s="1"/>
  <c r="O464" i="1"/>
  <c r="N469" i="1"/>
  <c r="N494" i="1"/>
  <c r="O21" i="1"/>
  <c r="O113" i="1"/>
  <c r="O139" i="1"/>
  <c r="O169" i="1"/>
  <c r="O205" i="1"/>
  <c r="N21" i="1"/>
  <c r="N49" i="1"/>
  <c r="N78" i="1"/>
  <c r="N107" i="1"/>
  <c r="N137" i="1"/>
  <c r="N161" i="1"/>
  <c r="N187" i="1"/>
  <c r="O208" i="1"/>
  <c r="O224" i="1"/>
  <c r="O229" i="1"/>
  <c r="N256" i="1"/>
  <c r="N269" i="1"/>
  <c r="N274" i="1"/>
  <c r="N279" i="1"/>
  <c r="O327" i="1"/>
  <c r="N337" i="1"/>
  <c r="N366" i="1"/>
  <c r="N380" i="1"/>
  <c r="N384" i="1"/>
  <c r="O394" i="1"/>
  <c r="N408" i="1"/>
  <c r="O426" i="1"/>
  <c r="N459" i="1"/>
  <c r="N474" i="1"/>
  <c r="O484" i="1"/>
  <c r="O494" i="1"/>
  <c r="O498" i="1"/>
  <c r="N504" i="1"/>
  <c r="O212" i="1"/>
  <c r="N244" i="1"/>
  <c r="N268" i="1"/>
  <c r="O273" i="1"/>
  <c r="O278" i="1"/>
  <c r="N290" i="1"/>
  <c r="O302" i="1"/>
  <c r="O309" i="1"/>
  <c r="O320" i="1"/>
  <c r="N332" i="1"/>
  <c r="N342" i="1"/>
  <c r="Q342" i="1" s="1"/>
  <c r="N347" i="1"/>
  <c r="N361" i="1"/>
  <c r="N383" i="1"/>
  <c r="O398" i="1"/>
  <c r="N407" i="1"/>
  <c r="O416" i="1"/>
  <c r="N434" i="1"/>
  <c r="N446" i="1"/>
  <c r="O450" i="1"/>
  <c r="O458" i="1"/>
  <c r="O85" i="1"/>
  <c r="O221" i="1"/>
  <c r="N275" i="1"/>
  <c r="N298" i="1"/>
  <c r="O312" i="1"/>
  <c r="N354" i="1"/>
  <c r="N360" i="1"/>
  <c r="O414" i="1"/>
  <c r="O433" i="1"/>
  <c r="N449" i="1"/>
  <c r="N466" i="1"/>
  <c r="O15" i="1"/>
  <c r="O65" i="1"/>
  <c r="O104" i="1"/>
  <c r="O149" i="1"/>
  <c r="O196" i="1"/>
  <c r="N33" i="1"/>
  <c r="N63" i="1"/>
  <c r="N116" i="1"/>
  <c r="N151" i="1"/>
  <c r="N195" i="1"/>
  <c r="N225" i="1"/>
  <c r="N147" i="1"/>
  <c r="N401" i="1"/>
  <c r="N57" i="1"/>
  <c r="N306" i="1"/>
  <c r="N334" i="1"/>
  <c r="O354" i="1"/>
  <c r="O390" i="1"/>
  <c r="O449" i="1"/>
  <c r="O460" i="1"/>
  <c r="O466" i="1"/>
  <c r="N472" i="1"/>
  <c r="O25" i="1"/>
  <c r="O67" i="1"/>
  <c r="O114" i="1"/>
  <c r="O152" i="1"/>
  <c r="N37" i="1"/>
  <c r="N79" i="1"/>
  <c r="Q79" i="1" s="1"/>
  <c r="N121" i="1"/>
  <c r="N162" i="1"/>
  <c r="N196" i="1"/>
  <c r="N216" i="1"/>
  <c r="N222" i="1"/>
  <c r="N240" i="1"/>
  <c r="Q240" i="1" s="1"/>
  <c r="N248" i="1"/>
  <c r="O269" i="1"/>
  <c r="O329" i="1"/>
  <c r="O334" i="1"/>
  <c r="N404" i="1"/>
  <c r="O409" i="1"/>
  <c r="N415" i="1"/>
  <c r="N480" i="1"/>
  <c r="N486" i="1"/>
  <c r="N506" i="1"/>
  <c r="O29" i="1"/>
  <c r="O68" i="1"/>
  <c r="O115" i="1"/>
  <c r="O153" i="1"/>
  <c r="N39" i="1"/>
  <c r="N80" i="1"/>
  <c r="N123" i="1"/>
  <c r="Q123" i="1" s="1"/>
  <c r="N163" i="1"/>
  <c r="N199" i="1"/>
  <c r="O248" i="1"/>
  <c r="N276" i="1"/>
  <c r="O322" i="1"/>
  <c r="N374" i="1"/>
  <c r="N429" i="1"/>
  <c r="O443" i="1"/>
  <c r="N456" i="1"/>
  <c r="O506" i="1"/>
  <c r="O30" i="1"/>
  <c r="O69" i="1"/>
  <c r="O116" i="1"/>
  <c r="O157" i="1"/>
  <c r="N40" i="1"/>
  <c r="N81" i="1"/>
  <c r="N124" i="1"/>
  <c r="N164" i="1"/>
  <c r="N201" i="1"/>
  <c r="O256" i="1"/>
  <c r="N264" i="1"/>
  <c r="N270" i="1"/>
  <c r="O276" i="1"/>
  <c r="N301" i="1"/>
  <c r="Q301" i="1" s="1"/>
  <c r="O350" i="1"/>
  <c r="N362" i="1"/>
  <c r="N368" i="1"/>
  <c r="Q368" i="1" s="1"/>
  <c r="O374" i="1"/>
  <c r="N385" i="1"/>
  <c r="N391" i="1"/>
  <c r="N423" i="1"/>
  <c r="O429" i="1"/>
  <c r="O436" i="1"/>
  <c r="O456" i="1"/>
  <c r="O474" i="1"/>
  <c r="O32" i="1"/>
  <c r="O73" i="1"/>
  <c r="O117" i="1"/>
  <c r="O161" i="1"/>
  <c r="N41" i="1"/>
  <c r="N85" i="1"/>
  <c r="N127" i="1"/>
  <c r="N165" i="1"/>
  <c r="N205" i="1"/>
  <c r="N233" i="1"/>
  <c r="O301" i="1"/>
  <c r="N330" i="1"/>
  <c r="N344" i="1"/>
  <c r="Q344" i="1" s="1"/>
  <c r="O362" i="1"/>
  <c r="O385" i="1"/>
  <c r="N399" i="1"/>
  <c r="N410" i="1"/>
  <c r="O417" i="1"/>
  <c r="O462" i="1"/>
  <c r="O33" i="1"/>
  <c r="O87" i="1"/>
  <c r="O123" i="1"/>
  <c r="O176" i="1"/>
  <c r="N8" i="1"/>
  <c r="N53" i="1"/>
  <c r="N89" i="1"/>
  <c r="N139" i="1"/>
  <c r="N167" i="1"/>
  <c r="N210" i="1"/>
  <c r="O257" i="1"/>
  <c r="N285" i="1"/>
  <c r="N316" i="1"/>
  <c r="N323" i="1"/>
  <c r="O330" i="1"/>
  <c r="O337" i="1"/>
  <c r="O344" i="1"/>
  <c r="N381" i="1"/>
  <c r="O399" i="1"/>
  <c r="O405" i="1"/>
  <c r="N424" i="1"/>
  <c r="N445" i="1"/>
  <c r="N481" i="1"/>
  <c r="O495" i="1"/>
  <c r="N502" i="1"/>
  <c r="O37" i="1"/>
  <c r="O91" i="1"/>
  <c r="O126" i="1"/>
  <c r="O177" i="1"/>
  <c r="N9" i="1"/>
  <c r="Q9" i="1" s="1"/>
  <c r="N54" i="1"/>
  <c r="N91" i="1"/>
  <c r="N141" i="1"/>
  <c r="N169" i="1"/>
  <c r="N234" i="1"/>
  <c r="N265" i="1"/>
  <c r="N272" i="1"/>
  <c r="O323" i="1"/>
  <c r="N351" i="1"/>
  <c r="N358" i="1"/>
  <c r="N376" i="1"/>
  <c r="O381" i="1"/>
  <c r="N418" i="1"/>
  <c r="N431" i="1"/>
  <c r="N438" i="1"/>
  <c r="N452" i="1"/>
  <c r="N457" i="1"/>
  <c r="O470" i="1"/>
  <c r="O481" i="1"/>
  <c r="N489" i="1"/>
  <c r="O39" i="1"/>
  <c r="O92" i="1"/>
  <c r="O127" i="1"/>
  <c r="O181" i="1"/>
  <c r="N11" i="1"/>
  <c r="N55" i="1"/>
  <c r="N92" i="1"/>
  <c r="N145" i="1"/>
  <c r="N171" i="1"/>
  <c r="N211" i="1"/>
  <c r="N220" i="1"/>
  <c r="O317" i="1"/>
  <c r="O338" i="1"/>
  <c r="O345" i="1"/>
  <c r="N363" i="1"/>
  <c r="O376" i="1"/>
  <c r="O386" i="1"/>
  <c r="O406" i="1"/>
  <c r="O418" i="1"/>
  <c r="N425" i="1"/>
  <c r="N477" i="1"/>
  <c r="O489" i="1"/>
  <c r="O43" i="1"/>
  <c r="O128" i="1"/>
  <c r="O187" i="1"/>
  <c r="N13" i="1"/>
  <c r="N56" i="1"/>
  <c r="N97" i="1"/>
  <c r="N176" i="1"/>
  <c r="O220" i="1"/>
  <c r="O363" i="1"/>
  <c r="O496" i="1"/>
  <c r="O504" i="1"/>
  <c r="O55" i="1"/>
  <c r="O97" i="1"/>
  <c r="O140" i="1"/>
  <c r="O188" i="1"/>
  <c r="N25" i="1"/>
  <c r="N108" i="1"/>
  <c r="N188" i="1"/>
  <c r="N259" i="1"/>
  <c r="N280" i="1"/>
  <c r="O318" i="1"/>
  <c r="O333" i="1"/>
  <c r="O346" i="1"/>
  <c r="N359" i="1"/>
  <c r="N371" i="1"/>
  <c r="N377" i="1"/>
  <c r="N395" i="1"/>
  <c r="O401" i="1"/>
  <c r="N465" i="1"/>
  <c r="N490" i="1"/>
  <c r="O7" i="1"/>
  <c r="O56" i="1"/>
  <c r="O99" i="1"/>
  <c r="O145" i="1"/>
  <c r="O189" i="1"/>
  <c r="N29" i="1"/>
  <c r="Q29" i="1" s="1"/>
  <c r="N60" i="1"/>
  <c r="N149" i="1"/>
  <c r="N189" i="1"/>
  <c r="N221" i="1"/>
  <c r="N253" i="1"/>
  <c r="Q253" i="1" s="1"/>
  <c r="O280" i="1"/>
  <c r="N289" i="1"/>
  <c r="N305" i="1"/>
  <c r="N312" i="1"/>
  <c r="Q312" i="1" s="1"/>
  <c r="O265" i="1"/>
  <c r="O93" i="1"/>
  <c r="N148" i="1"/>
  <c r="N109" i="1"/>
  <c r="O61" i="1"/>
  <c r="N193" i="1"/>
  <c r="O408" i="1"/>
  <c r="O103" i="1"/>
  <c r="N453" i="1"/>
  <c r="O147" i="1"/>
  <c r="N31" i="1"/>
  <c r="N433" i="1"/>
  <c r="N61" i="1"/>
  <c r="N414" i="1"/>
  <c r="N382" i="1"/>
  <c r="N471" i="1"/>
  <c r="O395" i="1"/>
  <c r="O8" i="1"/>
  <c r="O377" i="1"/>
  <c r="O193" i="1"/>
  <c r="O490" i="1"/>
  <c r="N115" i="1"/>
  <c r="N150" i="1"/>
  <c r="O356" i="1"/>
  <c r="N309" i="1"/>
  <c r="O335" i="1"/>
  <c r="N214" i="1"/>
  <c r="O435" i="1"/>
  <c r="O305" i="1"/>
  <c r="N331" i="1"/>
  <c r="N263" i="1"/>
  <c r="N365" i="1"/>
  <c r="N379" i="1"/>
  <c r="O448" i="1"/>
  <c r="N319" i="1"/>
  <c r="N441" i="1"/>
  <c r="O230" i="1"/>
  <c r="O500" i="1"/>
  <c r="O348" i="1"/>
  <c r="O391" i="1"/>
  <c r="O239" i="1"/>
  <c r="O271" i="1"/>
  <c r="N120" i="1"/>
  <c r="N143" i="1"/>
  <c r="O180" i="1"/>
  <c r="O118" i="1"/>
  <c r="N106" i="1"/>
  <c r="N198" i="1"/>
  <c r="O90" i="1"/>
  <c r="O77" i="1"/>
  <c r="N202" i="1"/>
  <c r="N134" i="1"/>
  <c r="O62" i="1"/>
  <c r="O270" i="1"/>
  <c r="O455" i="1"/>
  <c r="N364" i="1"/>
  <c r="N372" i="1"/>
  <c r="O324" i="1"/>
  <c r="O227" i="1"/>
  <c r="O191" i="1"/>
  <c r="O83" i="1"/>
  <c r="O284" i="1"/>
  <c r="O290" i="1"/>
  <c r="O250" i="1"/>
  <c r="O214" i="1"/>
  <c r="N412" i="1"/>
  <c r="Q412" i="1" s="1"/>
  <c r="N229" i="1"/>
  <c r="N493" i="1"/>
  <c r="O288" i="1"/>
  <c r="O331" i="1"/>
  <c r="N389" i="1"/>
  <c r="O311" i="1"/>
  <c r="N218" i="1"/>
  <c r="O365" i="1"/>
  <c r="O379" i="1"/>
  <c r="O441" i="1"/>
  <c r="O231" i="1"/>
  <c r="N324" i="1"/>
  <c r="O367" i="1"/>
  <c r="O168" i="1"/>
  <c r="N191" i="1"/>
  <c r="N83" i="1"/>
  <c r="N35" i="1"/>
  <c r="O179" i="1"/>
  <c r="O178" i="1"/>
  <c r="O186" i="1"/>
  <c r="O78" i="1"/>
  <c r="O53" i="1"/>
  <c r="O64" i="1"/>
  <c r="N186" i="1"/>
  <c r="O194" i="1"/>
  <c r="O122" i="1"/>
  <c r="N62" i="1"/>
  <c r="O380" i="1"/>
  <c r="O332" i="1"/>
  <c r="O209" i="1"/>
  <c r="O493" i="1"/>
  <c r="O389" i="1"/>
  <c r="O218" i="1"/>
  <c r="N436" i="1"/>
  <c r="N393" i="1"/>
  <c r="O343" i="1"/>
  <c r="O233" i="1"/>
  <c r="N156" i="1"/>
  <c r="N48" i="1"/>
  <c r="O131" i="1"/>
  <c r="O35" i="1"/>
  <c r="O359" i="1"/>
  <c r="N500" i="1"/>
  <c r="O452" i="1"/>
  <c r="O316" i="1"/>
  <c r="O503" i="1"/>
  <c r="O286" i="1"/>
  <c r="N444" i="1"/>
  <c r="N484" i="1"/>
  <c r="Q484" i="1" s="1"/>
  <c r="O487" i="1"/>
  <c r="N492" i="1"/>
  <c r="O372" i="1"/>
  <c r="O400" i="1"/>
  <c r="O297" i="1"/>
  <c r="O259" i="1"/>
  <c r="N304" i="1"/>
  <c r="O285" i="1"/>
  <c r="O156" i="1"/>
  <c r="O108" i="1"/>
  <c r="O48" i="1"/>
  <c r="N131" i="1"/>
  <c r="O202" i="1"/>
  <c r="N58" i="1"/>
  <c r="N70" i="1"/>
  <c r="Q70" i="1" s="1"/>
  <c r="O174" i="1"/>
  <c r="N197" i="1"/>
  <c r="N17" i="1"/>
  <c r="Q17" i="1" s="1"/>
  <c r="N184" i="1"/>
  <c r="O40" i="1"/>
  <c r="N112" i="1"/>
  <c r="N125" i="1"/>
  <c r="O27" i="1"/>
  <c r="O182" i="1"/>
  <c r="O110" i="1"/>
  <c r="O50" i="1"/>
  <c r="O226" i="1"/>
  <c r="O172" i="1"/>
  <c r="O419" i="1"/>
  <c r="N460" i="1"/>
  <c r="O241" i="1"/>
  <c r="O215" i="1"/>
  <c r="O314" i="1"/>
  <c r="O387" i="1"/>
  <c r="O355" i="1"/>
  <c r="N475" i="1"/>
  <c r="O413" i="1"/>
  <c r="O427" i="1"/>
  <c r="O282" i="1"/>
  <c r="O274" i="1"/>
  <c r="N340" i="1"/>
  <c r="O475" i="1"/>
  <c r="N420" i="1"/>
  <c r="O242" i="1"/>
  <c r="O287" i="1"/>
  <c r="O96" i="1"/>
  <c r="N203" i="1"/>
  <c r="N119" i="1"/>
  <c r="O47" i="1"/>
  <c r="N18" i="1"/>
  <c r="Q18" i="1" s="1"/>
  <c r="N16" i="1"/>
  <c r="O22" i="1"/>
  <c r="O171" i="1"/>
  <c r="O170" i="1"/>
  <c r="N86" i="1"/>
  <c r="N400" i="1"/>
  <c r="O432" i="1"/>
  <c r="N241" i="1"/>
  <c r="O267" i="1"/>
  <c r="O340" i="1"/>
  <c r="O467" i="1"/>
  <c r="N419" i="1"/>
  <c r="O420" i="1"/>
  <c r="N317" i="1"/>
  <c r="O476" i="1"/>
  <c r="N168" i="1"/>
  <c r="N84" i="1"/>
  <c r="O203" i="1"/>
  <c r="N47" i="1"/>
  <c r="N166" i="1"/>
  <c r="N22" i="1"/>
  <c r="N190" i="1"/>
  <c r="O184" i="1"/>
  <c r="N172" i="1"/>
  <c r="N75" i="1"/>
  <c r="N170" i="1"/>
  <c r="O13" i="1"/>
  <c r="O404" i="1"/>
  <c r="O383" i="1"/>
  <c r="O225" i="1"/>
  <c r="O373" i="1"/>
  <c r="N499" i="1"/>
  <c r="O357" i="1"/>
  <c r="N266" i="1"/>
  <c r="O393" i="1"/>
  <c r="N237" i="1"/>
  <c r="O315" i="1"/>
  <c r="O243" i="1"/>
  <c r="N179" i="1"/>
  <c r="Q179" i="1" s="1"/>
  <c r="O107" i="1"/>
  <c r="O23" i="1"/>
  <c r="N154" i="1"/>
  <c r="N174" i="1"/>
  <c r="N101" i="1"/>
  <c r="O160" i="1"/>
  <c r="N113" i="1"/>
  <c r="N87" i="1"/>
  <c r="O158" i="1"/>
  <c r="O74" i="1"/>
  <c r="N303" i="1"/>
  <c r="N448" i="1"/>
  <c r="O328" i="1"/>
  <c r="O499" i="1"/>
  <c r="O307" i="1"/>
  <c r="O266" i="1"/>
  <c r="N277" i="1"/>
  <c r="N252" i="1"/>
  <c r="O463" i="1"/>
  <c r="N315" i="1"/>
  <c r="O144" i="1"/>
  <c r="N72" i="1"/>
  <c r="N23" i="1"/>
  <c r="N178" i="1"/>
  <c r="O89" i="1"/>
  <c r="N65" i="1"/>
  <c r="O159" i="1"/>
  <c r="N158" i="1"/>
  <c r="N74" i="1"/>
  <c r="N242" i="1"/>
  <c r="O371" i="1"/>
  <c r="O444" i="1"/>
  <c r="N261" i="1"/>
  <c r="N307" i="1"/>
  <c r="N247" i="1"/>
  <c r="N341" i="1"/>
  <c r="O275" i="1"/>
  <c r="O213" i="1"/>
  <c r="O415" i="1"/>
  <c r="O211" i="1"/>
  <c r="N144" i="1"/>
  <c r="O60" i="1"/>
  <c r="O95" i="1"/>
  <c r="O11" i="1"/>
  <c r="N142" i="1"/>
  <c r="O142" i="1"/>
  <c r="O94" i="1"/>
  <c r="N173" i="1"/>
  <c r="O106" i="1"/>
  <c r="N94" i="1"/>
  <c r="N146" i="1"/>
  <c r="N50" i="1"/>
  <c r="O407" i="1"/>
  <c r="O289" i="1"/>
  <c r="N503" i="1"/>
  <c r="N451" i="1"/>
  <c r="O261" i="1"/>
  <c r="O292" i="1"/>
  <c r="O492" i="1"/>
  <c r="N485" i="1"/>
  <c r="O341" i="1"/>
  <c r="N308" i="1"/>
  <c r="N245" i="1"/>
  <c r="O219" i="1"/>
  <c r="O428" i="1"/>
  <c r="O469" i="1"/>
  <c r="O223" i="1"/>
  <c r="Q223" i="1" s="1"/>
  <c r="N413" i="1"/>
  <c r="O238" i="1"/>
  <c r="O439" i="1"/>
  <c r="N96" i="1"/>
  <c r="N180" i="1"/>
  <c r="O34" i="1"/>
  <c r="N66" i="1"/>
  <c r="O137" i="1"/>
  <c r="N110" i="1"/>
  <c r="N82" i="1"/>
  <c r="O300" i="1"/>
  <c r="N314" i="1"/>
  <c r="N396" i="1"/>
  <c r="O255" i="1"/>
  <c r="O319" i="1"/>
  <c r="O283" i="1"/>
  <c r="O143" i="1"/>
  <c r="O24" i="1"/>
  <c r="O66" i="1"/>
  <c r="N34" i="1"/>
  <c r="O41" i="1"/>
  <c r="O98" i="1"/>
  <c r="O235" i="1"/>
  <c r="O491" i="1"/>
  <c r="O396" i="1"/>
  <c r="O485" i="1"/>
  <c r="N213" i="1"/>
  <c r="N204" i="1"/>
  <c r="O72" i="1"/>
  <c r="O82" i="1"/>
  <c r="N30" i="1"/>
  <c r="O138" i="1"/>
  <c r="N126" i="1"/>
  <c r="O63" i="1"/>
  <c r="N98" i="1"/>
  <c r="O42" i="1"/>
  <c r="O185" i="1"/>
  <c r="O279" i="1"/>
  <c r="N435" i="1"/>
  <c r="N427" i="1"/>
  <c r="N293" i="1"/>
  <c r="N192" i="1"/>
  <c r="N71" i="1"/>
  <c r="N118" i="1"/>
  <c r="O206" i="1"/>
  <c r="N403" i="1"/>
  <c r="N88" i="1"/>
  <c r="O384" i="1"/>
  <c r="O461" i="1"/>
  <c r="O207" i="1"/>
  <c r="O431" i="1"/>
  <c r="O304" i="1"/>
  <c r="O155" i="1"/>
  <c r="O295" i="1"/>
  <c r="O451" i="1"/>
  <c r="N468" i="1"/>
  <c r="N282" i="1"/>
  <c r="O303" i="1"/>
  <c r="O204" i="1"/>
  <c r="O119" i="1"/>
  <c r="N24" i="1"/>
  <c r="O46" i="1"/>
  <c r="O154" i="1"/>
  <c r="O58" i="1"/>
  <c r="N64" i="1"/>
  <c r="N183" i="1"/>
  <c r="O86" i="1"/>
  <c r="O306" i="1"/>
  <c r="N355" i="1"/>
  <c r="O468" i="1"/>
  <c r="O210" i="1"/>
  <c r="N36" i="1"/>
  <c r="N95" i="1"/>
  <c r="O10" i="1"/>
  <c r="O263" i="1"/>
  <c r="O308" i="1"/>
  <c r="O12" i="1"/>
  <c r="O197" i="1"/>
  <c r="O166" i="1"/>
  <c r="O38" i="1"/>
  <c r="O251" i="1"/>
  <c r="O247" i="1"/>
  <c r="O291" i="1"/>
  <c r="N219" i="1"/>
  <c r="O132" i="1"/>
  <c r="N59" i="1"/>
  <c r="O173" i="1"/>
  <c r="O150" i="1"/>
  <c r="N26" i="1"/>
  <c r="N461" i="1"/>
  <c r="O277" i="1"/>
  <c r="O258" i="1"/>
  <c r="O59" i="1"/>
  <c r="N114" i="1"/>
  <c r="O76" i="1"/>
  <c r="O146" i="1"/>
  <c r="N348" i="1"/>
  <c r="N155" i="1"/>
  <c r="O102" i="1"/>
  <c r="O134" i="1"/>
  <c r="O479" i="1"/>
  <c r="N238" i="1"/>
  <c r="O120" i="1"/>
  <c r="N122" i="1"/>
  <c r="N352" i="1"/>
  <c r="N437" i="1"/>
  <c r="N388" i="1"/>
  <c r="Q388" i="1" s="1"/>
  <c r="O299" i="1"/>
  <c r="O293" i="1"/>
  <c r="N260" i="1"/>
  <c r="O192" i="1"/>
  <c r="O71" i="1"/>
  <c r="N130" i="1"/>
  <c r="N100" i="1"/>
  <c r="O136" i="1"/>
  <c r="N206" i="1"/>
  <c r="N38" i="1"/>
  <c r="O313" i="1"/>
  <c r="N236" i="1"/>
  <c r="O421" i="1"/>
  <c r="O437" i="1"/>
  <c r="N297" i="1"/>
  <c r="O252" i="1"/>
  <c r="O260" i="1"/>
  <c r="N12" i="1"/>
  <c r="Q12" i="1" s="1"/>
  <c r="O130" i="1"/>
  <c r="O190" i="1"/>
  <c r="N138" i="1"/>
  <c r="N194" i="1"/>
  <c r="O26" i="1"/>
  <c r="O236" i="1"/>
  <c r="N182" i="1"/>
  <c r="Q182" i="1" s="1"/>
  <c r="O403" i="1"/>
  <c r="O167" i="1"/>
  <c r="O88" i="1"/>
  <c r="O14" i="1"/>
  <c r="N132" i="1"/>
  <c r="N46" i="1"/>
  <c r="N14" i="1"/>
  <c r="N387" i="1"/>
  <c r="O352" i="1"/>
  <c r="N102" i="1"/>
  <c r="C35" i="1"/>
  <c r="C20" i="1"/>
  <c r="C33" i="1"/>
  <c r="C32" i="1"/>
  <c r="C38" i="1" s="1"/>
  <c r="C39" i="1"/>
  <c r="Q164" i="1" l="1"/>
  <c r="Q34" i="1"/>
  <c r="Q265" i="1"/>
  <c r="Q374" i="1"/>
  <c r="Q151" i="1"/>
  <c r="Q369" i="1"/>
  <c r="Q322" i="1"/>
  <c r="Q500" i="1"/>
  <c r="Q360" i="1"/>
  <c r="Q281" i="1"/>
  <c r="Q250" i="1"/>
  <c r="Q445" i="1"/>
  <c r="Q364" i="1"/>
  <c r="Q230" i="1"/>
  <c r="Q384" i="1"/>
  <c r="Q453" i="1"/>
  <c r="Q404" i="1"/>
  <c r="Q268" i="1"/>
  <c r="Q413" i="1"/>
  <c r="Q352" i="1"/>
  <c r="Q98" i="1"/>
  <c r="Q395" i="1"/>
  <c r="Q222" i="1"/>
  <c r="Q138" i="1"/>
  <c r="Q32" i="1"/>
  <c r="Q132" i="1"/>
  <c r="Q101" i="1"/>
  <c r="Q207" i="1"/>
  <c r="Q103" i="1"/>
  <c r="Q6" i="1"/>
  <c r="Q40" i="1"/>
  <c r="Q479" i="1"/>
  <c r="Q124" i="1"/>
  <c r="Q152" i="1"/>
  <c r="Q339" i="1"/>
  <c r="Q215" i="1"/>
  <c r="Q291" i="1"/>
  <c r="Q357" i="1"/>
  <c r="Q440" i="1"/>
  <c r="Q232" i="1"/>
  <c r="Q45" i="1"/>
  <c r="Q398" i="1"/>
  <c r="Q82" i="1"/>
  <c r="Q128" i="1"/>
  <c r="Q248" i="1"/>
  <c r="Q449" i="1"/>
  <c r="Q446" i="1"/>
  <c r="Q20" i="1"/>
  <c r="Q335" i="1"/>
  <c r="Q76" i="1"/>
  <c r="Q300" i="1"/>
  <c r="Q203" i="1"/>
  <c r="Q189" i="1"/>
  <c r="Q351" i="1"/>
  <c r="Q466" i="1"/>
  <c r="Q318" i="1"/>
  <c r="Q277" i="1"/>
  <c r="Q499" i="1"/>
  <c r="Q241" i="1"/>
  <c r="Q496" i="1"/>
  <c r="Q333" i="1"/>
  <c r="Q166" i="1"/>
  <c r="Q286" i="1"/>
  <c r="Q38" i="1"/>
  <c r="Q211" i="1"/>
  <c r="Q432" i="1"/>
  <c r="Q481" i="1"/>
  <c r="Q502" i="1"/>
  <c r="Q316" i="1"/>
  <c r="Q472" i="1"/>
  <c r="Q195" i="1"/>
  <c r="Q290" i="1"/>
  <c r="Q416" i="1"/>
  <c r="Q382" i="1"/>
  <c r="Q349" i="1"/>
  <c r="Q326" i="1"/>
  <c r="Q295" i="1"/>
  <c r="Q390" i="1"/>
  <c r="Q23" i="1"/>
  <c r="Q176" i="1"/>
  <c r="Q284" i="1"/>
  <c r="Q88" i="1"/>
  <c r="Q22" i="1"/>
  <c r="Q324" i="1"/>
  <c r="Q331" i="1"/>
  <c r="Q147" i="1"/>
  <c r="Q249" i="1"/>
  <c r="Q42" i="1"/>
  <c r="Q252" i="1"/>
  <c r="Q267" i="1"/>
  <c r="Q102" i="1"/>
  <c r="Q74" i="1"/>
  <c r="Q305" i="1"/>
  <c r="Q149" i="1"/>
  <c r="Q489" i="1"/>
  <c r="Q459" i="1"/>
  <c r="Q212" i="1"/>
  <c r="Q77" i="1"/>
  <c r="Q226" i="1"/>
  <c r="Q470" i="1"/>
  <c r="Q251" i="1"/>
  <c r="Q325" i="1"/>
  <c r="Q394" i="1"/>
  <c r="Q10" i="1"/>
  <c r="Q142" i="1"/>
  <c r="Q372" i="1"/>
  <c r="Q254" i="1"/>
  <c r="Q11" i="1"/>
  <c r="Q315" i="1"/>
  <c r="Q487" i="1"/>
  <c r="Q131" i="1"/>
  <c r="Q282" i="1"/>
  <c r="Q126" i="1"/>
  <c r="Q174" i="1"/>
  <c r="Q134" i="1"/>
  <c r="Q220" i="1"/>
  <c r="Q165" i="1"/>
  <c r="Q201" i="1"/>
  <c r="Q7" i="1"/>
  <c r="Q409" i="1"/>
  <c r="Q464" i="1"/>
  <c r="Q118" i="1"/>
  <c r="Q137" i="1"/>
  <c r="Q415" i="1"/>
  <c r="Q154" i="1"/>
  <c r="Q117" i="1"/>
  <c r="Q406" i="1"/>
  <c r="Q136" i="1"/>
  <c r="Q420" i="1"/>
  <c r="Q116" i="1"/>
  <c r="C25" i="1"/>
  <c r="F25" i="1" s="1"/>
  <c r="Q89" i="1"/>
  <c r="Q107" i="1"/>
  <c r="Q259" i="1"/>
  <c r="Q178" i="1"/>
  <c r="Q209" i="1"/>
  <c r="Q438" i="1"/>
  <c r="Q141" i="1"/>
  <c r="Q246" i="1"/>
  <c r="Q283" i="1"/>
  <c r="Q376" i="1"/>
  <c r="Q343" i="1"/>
  <c r="Q193" i="1"/>
  <c r="Q474" i="1"/>
  <c r="Q397" i="1"/>
  <c r="Q114" i="1"/>
  <c r="Q144" i="1"/>
  <c r="Q393" i="1"/>
  <c r="Q377" i="1"/>
  <c r="Q28" i="1"/>
  <c r="Q47" i="1"/>
  <c r="Q423" i="1"/>
  <c r="Q491" i="1"/>
  <c r="Q202" i="1"/>
  <c r="Q148" i="1"/>
  <c r="Q181" i="1"/>
  <c r="Q177" i="1"/>
  <c r="Q299" i="1"/>
  <c r="Q66" i="1"/>
  <c r="Q184" i="1"/>
  <c r="Q477" i="1"/>
  <c r="Q461" i="1"/>
  <c r="Q168" i="1"/>
  <c r="Q90" i="1"/>
  <c r="Q410" i="1"/>
  <c r="Q81" i="1"/>
  <c r="Q494" i="1"/>
  <c r="Q455" i="1"/>
  <c r="Q228" i="1"/>
  <c r="Q235" i="1"/>
  <c r="Q8" i="1"/>
  <c r="Q456" i="1"/>
  <c r="Q403" i="1"/>
  <c r="Q239" i="1"/>
  <c r="Q467" i="1"/>
  <c r="C26" i="1"/>
  <c r="Q194" i="1"/>
  <c r="Q50" i="1"/>
  <c r="Q112" i="1"/>
  <c r="Q370" i="1"/>
  <c r="Q80" i="1"/>
  <c r="Q122" i="1"/>
  <c r="Q78" i="1"/>
  <c r="Q408" i="1"/>
  <c r="Q30" i="1"/>
  <c r="Q85" i="1"/>
  <c r="Q506" i="1"/>
  <c r="Q130" i="1"/>
  <c r="Q293" i="1"/>
  <c r="Q180" i="1"/>
  <c r="Q485" i="1"/>
  <c r="Q173" i="1"/>
  <c r="Q341" i="1"/>
  <c r="Q448" i="1"/>
  <c r="Q476" i="1"/>
  <c r="Q340" i="1"/>
  <c r="Q197" i="1"/>
  <c r="Q198" i="1"/>
  <c r="Q363" i="1"/>
  <c r="Q92" i="1"/>
  <c r="Q167" i="1"/>
  <c r="Q399" i="1"/>
  <c r="Q480" i="1"/>
  <c r="Q162" i="1"/>
  <c r="Q383" i="1"/>
  <c r="Q244" i="1"/>
  <c r="Q380" i="1"/>
  <c r="Q469" i="1"/>
  <c r="Q347" i="1"/>
  <c r="Q320" i="1"/>
  <c r="Q497" i="1"/>
  <c r="Q294" i="1"/>
  <c r="Q498" i="1"/>
  <c r="Q427" i="1"/>
  <c r="Q170" i="1"/>
  <c r="Q274" i="1"/>
  <c r="Q389" i="1"/>
  <c r="Q227" i="1"/>
  <c r="Q106" i="1"/>
  <c r="Q319" i="1"/>
  <c r="Q31" i="1"/>
  <c r="Q280" i="1"/>
  <c r="Q431" i="1"/>
  <c r="Q362" i="1"/>
  <c r="Q199" i="1"/>
  <c r="Q327" i="1"/>
  <c r="Q422" i="1"/>
  <c r="Q350" i="1"/>
  <c r="Q444" i="1"/>
  <c r="Q104" i="1"/>
  <c r="Q329" i="1"/>
  <c r="Q437" i="1"/>
  <c r="Q323" i="1"/>
  <c r="Q110" i="1"/>
  <c r="Q158" i="1"/>
  <c r="Q156" i="1"/>
  <c r="Q371" i="1"/>
  <c r="Q272" i="1"/>
  <c r="Q434" i="1"/>
  <c r="Q135" i="1"/>
  <c r="Q146" i="1"/>
  <c r="Q127" i="1"/>
  <c r="Q113" i="1"/>
  <c r="Q65" i="1"/>
  <c r="Q71" i="1"/>
  <c r="Q163" i="1"/>
  <c r="Q236" i="1"/>
  <c r="Q355" i="1"/>
  <c r="Q468" i="1"/>
  <c r="Q242" i="1"/>
  <c r="Q391" i="1"/>
  <c r="Q27" i="1"/>
  <c r="Q378" i="1"/>
  <c r="Q94" i="1"/>
  <c r="Q86" i="1"/>
  <c r="Q304" i="1"/>
  <c r="Q414" i="1"/>
  <c r="Q234" i="1"/>
  <c r="Q256" i="1"/>
  <c r="Q60" i="1"/>
  <c r="Q429" i="1"/>
  <c r="Q51" i="1"/>
  <c r="Q321" i="1"/>
  <c r="Q387" i="1"/>
  <c r="Q206" i="1"/>
  <c r="Q258" i="1"/>
  <c r="Q245" i="1"/>
  <c r="Q225" i="1"/>
  <c r="Q214" i="1"/>
  <c r="Q359" i="1"/>
  <c r="Q285" i="1"/>
  <c r="Q105" i="1"/>
  <c r="Q482" i="1"/>
  <c r="Q462" i="1"/>
  <c r="Q14" i="1"/>
  <c r="Q308" i="1"/>
  <c r="Q84" i="1"/>
  <c r="Q186" i="1"/>
  <c r="Q171" i="1"/>
  <c r="Q457" i="1"/>
  <c r="Q385" i="1"/>
  <c r="Q216" i="1"/>
  <c r="Q407" i="1"/>
  <c r="Q159" i="1"/>
  <c r="Q157" i="1"/>
  <c r="Q356" i="1"/>
  <c r="Q478" i="1"/>
  <c r="Q93" i="1"/>
  <c r="Q46" i="1"/>
  <c r="Q100" i="1"/>
  <c r="Q238" i="1"/>
  <c r="Q183" i="1"/>
  <c r="Q460" i="1"/>
  <c r="Q218" i="1"/>
  <c r="Q309" i="1"/>
  <c r="Q61" i="1"/>
  <c r="Q425" i="1"/>
  <c r="Q145" i="1"/>
  <c r="Q452" i="1"/>
  <c r="Q169" i="1"/>
  <c r="Q210" i="1"/>
  <c r="Q41" i="1"/>
  <c r="Q486" i="1"/>
  <c r="Q196" i="1"/>
  <c r="Q63" i="1"/>
  <c r="Q354" i="1"/>
  <c r="Q187" i="1"/>
  <c r="Q353" i="1"/>
  <c r="Q44" i="1"/>
  <c r="Q133" i="1"/>
  <c r="Q310" i="1"/>
  <c r="Q73" i="1"/>
  <c r="Q386" i="1"/>
  <c r="Q287" i="1"/>
  <c r="Q278" i="1"/>
  <c r="Q302" i="1"/>
  <c r="Q109" i="1"/>
  <c r="Q26" i="1"/>
  <c r="Q204" i="1"/>
  <c r="Q303" i="1"/>
  <c r="Q317" i="1"/>
  <c r="Q400" i="1"/>
  <c r="Q35" i="1"/>
  <c r="Q150" i="1"/>
  <c r="Q55" i="1"/>
  <c r="Q91" i="1"/>
  <c r="Q139" i="1"/>
  <c r="Q121" i="1"/>
  <c r="Q361" i="1"/>
  <c r="Q366" i="1"/>
  <c r="Q69" i="1"/>
  <c r="Q313" i="1"/>
  <c r="Q68" i="1"/>
  <c r="Q488" i="1"/>
  <c r="Q442" i="1"/>
  <c r="Q288" i="1"/>
  <c r="Q495" i="1"/>
  <c r="Q153" i="1"/>
  <c r="Q257" i="1"/>
  <c r="Q192" i="1"/>
  <c r="Q435" i="1"/>
  <c r="Q213" i="1"/>
  <c r="Q292" i="1"/>
  <c r="Q307" i="1"/>
  <c r="Q72" i="1"/>
  <c r="Q75" i="1"/>
  <c r="Q16" i="1"/>
  <c r="Q83" i="1"/>
  <c r="Q115" i="1"/>
  <c r="Q289" i="1"/>
  <c r="Q418" i="1"/>
  <c r="Q54" i="1"/>
  <c r="Q334" i="1"/>
  <c r="Q275" i="1"/>
  <c r="Q504" i="1"/>
  <c r="Q337" i="1"/>
  <c r="Q43" i="1"/>
  <c r="Q473" i="1"/>
  <c r="Q273" i="1"/>
  <c r="Q454" i="1"/>
  <c r="Q296" i="1"/>
  <c r="Q200" i="1"/>
  <c r="Q428" i="1"/>
  <c r="Q417" i="1"/>
  <c r="Q447" i="1"/>
  <c r="Q346" i="1"/>
  <c r="Q231" i="1"/>
  <c r="Q345" i="1"/>
  <c r="Q205" i="1"/>
  <c r="Q160" i="1"/>
  <c r="Q436" i="1"/>
  <c r="Q471" i="1"/>
  <c r="Q64" i="1"/>
  <c r="Q311" i="1"/>
  <c r="Q441" i="1"/>
  <c r="Q424" i="1"/>
  <c r="Q161" i="1"/>
  <c r="Q96" i="1"/>
  <c r="Q247" i="1"/>
  <c r="Q243" i="1"/>
  <c r="Q260" i="1"/>
  <c r="Q59" i="1"/>
  <c r="Q237" i="1"/>
  <c r="Q419" i="1"/>
  <c r="Q58" i="1"/>
  <c r="Q48" i="1"/>
  <c r="Q191" i="1"/>
  <c r="Q490" i="1"/>
  <c r="Q97" i="1"/>
  <c r="Q53" i="1"/>
  <c r="Q306" i="1"/>
  <c r="Q426" i="1"/>
  <c r="Q19" i="1"/>
  <c r="Q255" i="1"/>
  <c r="Q392" i="1"/>
  <c r="Q298" i="1"/>
  <c r="Q348" i="1"/>
  <c r="Q95" i="1"/>
  <c r="Q24" i="1"/>
  <c r="Q185" i="1"/>
  <c r="Q396" i="1"/>
  <c r="Q451" i="1"/>
  <c r="Q87" i="1"/>
  <c r="Q493" i="1"/>
  <c r="Q143" i="1"/>
  <c r="Q365" i="1"/>
  <c r="Q465" i="1"/>
  <c r="Q108" i="1"/>
  <c r="Q56" i="1"/>
  <c r="Q330" i="1"/>
  <c r="Q276" i="1"/>
  <c r="Q57" i="1"/>
  <c r="Q332" i="1"/>
  <c r="Q279" i="1"/>
  <c r="Q49" i="1"/>
  <c r="Q224" i="1"/>
  <c r="Q458" i="1"/>
  <c r="Q375" i="1"/>
  <c r="Q373" i="1"/>
  <c r="Q439" i="1"/>
  <c r="Q338" i="1"/>
  <c r="Q262" i="1"/>
  <c r="Q269" i="1"/>
  <c r="Q125" i="1"/>
  <c r="Q140" i="1"/>
  <c r="Q433" i="1"/>
  <c r="Q33" i="1"/>
  <c r="Q99" i="1"/>
  <c r="Q336" i="1"/>
  <c r="Q52" i="1"/>
  <c r="Q271" i="1"/>
  <c r="Q297" i="1"/>
  <c r="Q155" i="1"/>
  <c r="Q261" i="1"/>
  <c r="Q172" i="1"/>
  <c r="Q492" i="1"/>
  <c r="Q62" i="1"/>
  <c r="Q379" i="1"/>
  <c r="Q188" i="1"/>
  <c r="Q381" i="1"/>
  <c r="Q37" i="1"/>
  <c r="Q111" i="1"/>
  <c r="Q421" i="1"/>
  <c r="Q219" i="1"/>
  <c r="Q36" i="1"/>
  <c r="Q314" i="1"/>
  <c r="Q503" i="1"/>
  <c r="Q463" i="1"/>
  <c r="Q266" i="1"/>
  <c r="Q190" i="1"/>
  <c r="Q119" i="1"/>
  <c r="Q475" i="1"/>
  <c r="Q233" i="1"/>
  <c r="Q367" i="1"/>
  <c r="Q229" i="1"/>
  <c r="Q120" i="1"/>
  <c r="Q263" i="1"/>
  <c r="Q221" i="1"/>
  <c r="Q25" i="1"/>
  <c r="Q13" i="1"/>
  <c r="Q358" i="1"/>
  <c r="Q270" i="1"/>
  <c r="Q39" i="1"/>
  <c r="Q401" i="1"/>
  <c r="Q21" i="1"/>
  <c r="Q208" i="1"/>
  <c r="Q450" i="1"/>
  <c r="Q402" i="1"/>
  <c r="Q217" i="1"/>
  <c r="Q129" i="1"/>
  <c r="Q505" i="1"/>
  <c r="Q264" i="1"/>
  <c r="Q67" i="1"/>
  <c r="Q328" i="1"/>
  <c r="Q501" i="1"/>
  <c r="Q405" i="1"/>
  <c r="E39" i="1"/>
  <c r="F39" i="1"/>
  <c r="C34" i="1"/>
  <c r="C36" i="1"/>
  <c r="E25" i="1" l="1"/>
  <c r="C27" i="1" s="1"/>
  <c r="Q1" i="1"/>
  <c r="C44" i="1"/>
  <c r="C42" i="1"/>
  <c r="C40" i="1"/>
  <c r="C45" i="1"/>
  <c r="C41" i="1"/>
  <c r="C43" i="1"/>
  <c r="C28" i="1" l="1"/>
  <c r="T265" i="1" s="1"/>
  <c r="S7" i="1"/>
  <c r="S19" i="1"/>
  <c r="S31" i="1"/>
  <c r="S43" i="1"/>
  <c r="S55" i="1"/>
  <c r="S67" i="1"/>
  <c r="S79" i="1"/>
  <c r="S91" i="1"/>
  <c r="S103" i="1"/>
  <c r="S115" i="1"/>
  <c r="S127" i="1"/>
  <c r="S139" i="1"/>
  <c r="S151" i="1"/>
  <c r="S163" i="1"/>
  <c r="S175" i="1"/>
  <c r="S187" i="1"/>
  <c r="S199" i="1"/>
  <c r="S211" i="1"/>
  <c r="S223" i="1"/>
  <c r="S235" i="1"/>
  <c r="S247" i="1"/>
  <c r="S259" i="1"/>
  <c r="S8" i="1"/>
  <c r="S20" i="1"/>
  <c r="S32" i="1"/>
  <c r="S44" i="1"/>
  <c r="S56" i="1"/>
  <c r="S68" i="1"/>
  <c r="S80" i="1"/>
  <c r="S92" i="1"/>
  <c r="S104" i="1"/>
  <c r="S116" i="1"/>
  <c r="S128" i="1"/>
  <c r="S140" i="1"/>
  <c r="S152" i="1"/>
  <c r="S164" i="1"/>
  <c r="S176" i="1"/>
  <c r="S188" i="1"/>
  <c r="S200" i="1"/>
  <c r="S212" i="1"/>
  <c r="S224" i="1"/>
  <c r="S236" i="1"/>
  <c r="S248" i="1"/>
  <c r="S260" i="1"/>
  <c r="S272" i="1"/>
  <c r="S284" i="1"/>
  <c r="S296" i="1"/>
  <c r="S308" i="1"/>
  <c r="S320" i="1"/>
  <c r="S332" i="1"/>
  <c r="S344" i="1"/>
  <c r="S356" i="1"/>
  <c r="S368" i="1"/>
  <c r="S380" i="1"/>
  <c r="S392" i="1"/>
  <c r="S404" i="1"/>
  <c r="S416" i="1"/>
  <c r="S428" i="1"/>
  <c r="S440" i="1"/>
  <c r="S452" i="1"/>
  <c r="S464" i="1"/>
  <c r="S476" i="1"/>
  <c r="S488" i="1"/>
  <c r="S500" i="1"/>
  <c r="S11" i="1"/>
  <c r="S23" i="1"/>
  <c r="S35" i="1"/>
  <c r="S47" i="1"/>
  <c r="S59" i="1"/>
  <c r="S71" i="1"/>
  <c r="S83" i="1"/>
  <c r="S95" i="1"/>
  <c r="S107" i="1"/>
  <c r="S119" i="1"/>
  <c r="S131" i="1"/>
  <c r="S143" i="1"/>
  <c r="S155" i="1"/>
  <c r="S167" i="1"/>
  <c r="S179" i="1"/>
  <c r="S191" i="1"/>
  <c r="S203" i="1"/>
  <c r="S215" i="1"/>
  <c r="S227" i="1"/>
  <c r="S239" i="1"/>
  <c r="S251" i="1"/>
  <c r="S263" i="1"/>
  <c r="S275" i="1"/>
  <c r="S287" i="1"/>
  <c r="S299" i="1"/>
  <c r="S311" i="1"/>
  <c r="S323" i="1"/>
  <c r="S335" i="1"/>
  <c r="S347" i="1"/>
  <c r="S359" i="1"/>
  <c r="S371" i="1"/>
  <c r="S383" i="1"/>
  <c r="S395" i="1"/>
  <c r="S407" i="1"/>
  <c r="S419" i="1"/>
  <c r="S431" i="1"/>
  <c r="S443" i="1"/>
  <c r="S455" i="1"/>
  <c r="S467" i="1"/>
  <c r="S479" i="1"/>
  <c r="S491" i="1"/>
  <c r="S503" i="1"/>
  <c r="S13" i="1"/>
  <c r="S25" i="1"/>
  <c r="S37" i="1"/>
  <c r="S49" i="1"/>
  <c r="S61" i="1"/>
  <c r="S73" i="1"/>
  <c r="S85" i="1"/>
  <c r="S97" i="1"/>
  <c r="S109" i="1"/>
  <c r="S121" i="1"/>
  <c r="S133" i="1"/>
  <c r="S145" i="1"/>
  <c r="S157" i="1"/>
  <c r="S169" i="1"/>
  <c r="S181" i="1"/>
  <c r="S193" i="1"/>
  <c r="S205" i="1"/>
  <c r="S217" i="1"/>
  <c r="S229" i="1"/>
  <c r="S241" i="1"/>
  <c r="S9" i="1"/>
  <c r="S27" i="1"/>
  <c r="S45" i="1"/>
  <c r="S63" i="1"/>
  <c r="S81" i="1"/>
  <c r="S99" i="1"/>
  <c r="S117" i="1"/>
  <c r="S135" i="1"/>
  <c r="S153" i="1"/>
  <c r="S171" i="1"/>
  <c r="S189" i="1"/>
  <c r="S207" i="1"/>
  <c r="S225" i="1"/>
  <c r="S243" i="1"/>
  <c r="S258" i="1"/>
  <c r="S274" i="1"/>
  <c r="S289" i="1"/>
  <c r="S303" i="1"/>
  <c r="S317" i="1"/>
  <c r="S331" i="1"/>
  <c r="S346" i="1"/>
  <c r="S361" i="1"/>
  <c r="S375" i="1"/>
  <c r="S389" i="1"/>
  <c r="S403" i="1"/>
  <c r="S418" i="1"/>
  <c r="S433" i="1"/>
  <c r="S447" i="1"/>
  <c r="S461" i="1"/>
  <c r="S475" i="1"/>
  <c r="S490" i="1"/>
  <c r="S505" i="1"/>
  <c r="S14" i="1"/>
  <c r="S30" i="1"/>
  <c r="S50" i="1"/>
  <c r="S66" i="1"/>
  <c r="S86" i="1"/>
  <c r="S102" i="1"/>
  <c r="S122" i="1"/>
  <c r="S138" i="1"/>
  <c r="S158" i="1"/>
  <c r="S174" i="1"/>
  <c r="S194" i="1"/>
  <c r="S210" i="1"/>
  <c r="S230" i="1"/>
  <c r="S246" i="1"/>
  <c r="S264" i="1"/>
  <c r="S278" i="1"/>
  <c r="S292" i="1"/>
  <c r="S306" i="1"/>
  <c r="S321" i="1"/>
  <c r="S336" i="1"/>
  <c r="S350" i="1"/>
  <c r="S364" i="1"/>
  <c r="S378" i="1"/>
  <c r="S393" i="1"/>
  <c r="S408" i="1"/>
  <c r="S422" i="1"/>
  <c r="S436" i="1"/>
  <c r="S450" i="1"/>
  <c r="S465" i="1"/>
  <c r="S480" i="1"/>
  <c r="S494" i="1"/>
  <c r="S17" i="1"/>
  <c r="S36" i="1"/>
  <c r="S53" i="1"/>
  <c r="S72" i="1"/>
  <c r="S89" i="1"/>
  <c r="S108" i="1"/>
  <c r="S125" i="1"/>
  <c r="S144" i="1"/>
  <c r="S161" i="1"/>
  <c r="S180" i="1"/>
  <c r="S197" i="1"/>
  <c r="S216" i="1"/>
  <c r="S233" i="1"/>
  <c r="S252" i="1"/>
  <c r="S267" i="1"/>
  <c r="S281" i="1"/>
  <c r="S295" i="1"/>
  <c r="S310" i="1"/>
  <c r="S325" i="1"/>
  <c r="S339" i="1"/>
  <c r="S353" i="1"/>
  <c r="S367" i="1"/>
  <c r="S382" i="1"/>
  <c r="S397" i="1"/>
  <c r="S411" i="1"/>
  <c r="S425" i="1"/>
  <c r="S439" i="1"/>
  <c r="S454" i="1"/>
  <c r="S469" i="1"/>
  <c r="S483" i="1"/>
  <c r="S497" i="1"/>
  <c r="S18" i="1"/>
  <c r="S38" i="1"/>
  <c r="S54" i="1"/>
  <c r="S74" i="1"/>
  <c r="S90" i="1"/>
  <c r="S110" i="1"/>
  <c r="S126" i="1"/>
  <c r="S146" i="1"/>
  <c r="S162" i="1"/>
  <c r="S182" i="1"/>
  <c r="S198" i="1"/>
  <c r="S218" i="1"/>
  <c r="S234" i="1"/>
  <c r="S253" i="1"/>
  <c r="S268" i="1"/>
  <c r="S282" i="1"/>
  <c r="S297" i="1"/>
  <c r="S312" i="1"/>
  <c r="S326" i="1"/>
  <c r="S340" i="1"/>
  <c r="S354" i="1"/>
  <c r="S369" i="1"/>
  <c r="S384" i="1"/>
  <c r="S398" i="1"/>
  <c r="S412" i="1"/>
  <c r="S426" i="1"/>
  <c r="S441" i="1"/>
  <c r="S456" i="1"/>
  <c r="S470" i="1"/>
  <c r="S484" i="1"/>
  <c r="S498" i="1"/>
  <c r="S10" i="1"/>
  <c r="S39" i="1"/>
  <c r="S64" i="1"/>
  <c r="S93" i="1"/>
  <c r="S118" i="1"/>
  <c r="S147" i="1"/>
  <c r="S172" i="1"/>
  <c r="S201" i="1"/>
  <c r="S226" i="1"/>
  <c r="S254" i="1"/>
  <c r="S276" i="1"/>
  <c r="S298" i="1"/>
  <c r="S318" i="1"/>
  <c r="S341" i="1"/>
  <c r="S362" i="1"/>
  <c r="S385" i="1"/>
  <c r="S405" i="1"/>
  <c r="S427" i="1"/>
  <c r="S448" i="1"/>
  <c r="S471" i="1"/>
  <c r="S492" i="1"/>
  <c r="R301" i="1"/>
  <c r="S12" i="1"/>
  <c r="S40" i="1"/>
  <c r="S65" i="1"/>
  <c r="S94" i="1"/>
  <c r="S120" i="1"/>
  <c r="S148" i="1"/>
  <c r="S173" i="1"/>
  <c r="S202" i="1"/>
  <c r="S228" i="1"/>
  <c r="S255" i="1"/>
  <c r="S277" i="1"/>
  <c r="S300" i="1"/>
  <c r="S319" i="1"/>
  <c r="S342" i="1"/>
  <c r="S363" i="1"/>
  <c r="S386" i="1"/>
  <c r="S406" i="1"/>
  <c r="S429" i="1"/>
  <c r="S449" i="1"/>
  <c r="S472" i="1"/>
  <c r="S493" i="1"/>
  <c r="S16" i="1"/>
  <c r="S42" i="1"/>
  <c r="S70" i="1"/>
  <c r="S98" i="1"/>
  <c r="S124" i="1"/>
  <c r="S150" i="1"/>
  <c r="S178" i="1"/>
  <c r="S206" i="1"/>
  <c r="S232" i="1"/>
  <c r="S257" i="1"/>
  <c r="S280" i="1"/>
  <c r="S302" i="1"/>
  <c r="S324" i="1"/>
  <c r="S345" i="1"/>
  <c r="S366" i="1"/>
  <c r="S388" i="1"/>
  <c r="S410" i="1"/>
  <c r="S432" i="1"/>
  <c r="S453" i="1"/>
  <c r="S474" i="1"/>
  <c r="S496" i="1"/>
  <c r="S21" i="1"/>
  <c r="S46" i="1"/>
  <c r="S75" i="1"/>
  <c r="S100" i="1"/>
  <c r="S129" i="1"/>
  <c r="S154" i="1"/>
  <c r="S183" i="1"/>
  <c r="S208" i="1"/>
  <c r="S237" i="1"/>
  <c r="S261" i="1"/>
  <c r="S283" i="1"/>
  <c r="S304" i="1"/>
  <c r="S327" i="1"/>
  <c r="S348" i="1"/>
  <c r="S370" i="1"/>
  <c r="S390" i="1"/>
  <c r="S413" i="1"/>
  <c r="S434" i="1"/>
  <c r="S457" i="1"/>
  <c r="S477" i="1"/>
  <c r="S499" i="1"/>
  <c r="S24" i="1"/>
  <c r="S51" i="1"/>
  <c r="S77" i="1"/>
  <c r="S105" i="1"/>
  <c r="S132" i="1"/>
  <c r="S159" i="1"/>
  <c r="S185" i="1"/>
  <c r="S213" i="1"/>
  <c r="S240" i="1"/>
  <c r="S265" i="1"/>
  <c r="S286" i="1"/>
  <c r="S307" i="1"/>
  <c r="S329" i="1"/>
  <c r="S351" i="1"/>
  <c r="S373" i="1"/>
  <c r="S26" i="1"/>
  <c r="S52" i="1"/>
  <c r="S28" i="1"/>
  <c r="S57" i="1"/>
  <c r="S82" i="1"/>
  <c r="S111" i="1"/>
  <c r="S136" i="1"/>
  <c r="S165" i="1"/>
  <c r="S190" i="1"/>
  <c r="S219" i="1"/>
  <c r="S244" i="1"/>
  <c r="S269" i="1"/>
  <c r="S290" i="1"/>
  <c r="S313" i="1"/>
  <c r="S333" i="1"/>
  <c r="S355" i="1"/>
  <c r="S376" i="1"/>
  <c r="S399" i="1"/>
  <c r="S420" i="1"/>
  <c r="S442" i="1"/>
  <c r="S462" i="1"/>
  <c r="S485" i="1"/>
  <c r="S506" i="1"/>
  <c r="S15" i="1"/>
  <c r="S78" i="1"/>
  <c r="S134" i="1"/>
  <c r="S186" i="1"/>
  <c r="S242" i="1"/>
  <c r="S288" i="1"/>
  <c r="S330" i="1"/>
  <c r="S374" i="1"/>
  <c r="S414" i="1"/>
  <c r="S446" i="1"/>
  <c r="S486" i="1"/>
  <c r="S29" i="1"/>
  <c r="S87" i="1"/>
  <c r="S195" i="1"/>
  <c r="S249" i="1"/>
  <c r="S293" i="1"/>
  <c r="S337" i="1"/>
  <c r="S379" i="1"/>
  <c r="S417" i="1"/>
  <c r="S458" i="1"/>
  <c r="S489" i="1"/>
  <c r="S96" i="1"/>
  <c r="S22" i="1"/>
  <c r="S84" i="1"/>
  <c r="S137" i="1"/>
  <c r="S192" i="1"/>
  <c r="S245" i="1"/>
  <c r="S291" i="1"/>
  <c r="S334" i="1"/>
  <c r="S377" i="1"/>
  <c r="S415" i="1"/>
  <c r="S451" i="1"/>
  <c r="S487" i="1"/>
  <c r="R433" i="1"/>
  <c r="S141" i="1"/>
  <c r="S33" i="1"/>
  <c r="S88" i="1"/>
  <c r="S142" i="1"/>
  <c r="S196" i="1"/>
  <c r="S250" i="1"/>
  <c r="S294" i="1"/>
  <c r="S338" i="1"/>
  <c r="S381" i="1"/>
  <c r="S421" i="1"/>
  <c r="S459" i="1"/>
  <c r="S495" i="1"/>
  <c r="S34" i="1"/>
  <c r="S149" i="1"/>
  <c r="S204" i="1"/>
  <c r="S256" i="1"/>
  <c r="S301" i="1"/>
  <c r="S343" i="1"/>
  <c r="S387" i="1"/>
  <c r="S423" i="1"/>
  <c r="S460" i="1"/>
  <c r="S501" i="1"/>
  <c r="S48" i="1"/>
  <c r="S106" i="1"/>
  <c r="S160" i="1"/>
  <c r="S214" i="1"/>
  <c r="S266" i="1"/>
  <c r="S309" i="1"/>
  <c r="S352" i="1"/>
  <c r="S394" i="1"/>
  <c r="S430" i="1"/>
  <c r="S466" i="1"/>
  <c r="S504" i="1"/>
  <c r="R450" i="1"/>
  <c r="S114" i="1"/>
  <c r="S58" i="1"/>
  <c r="S112" i="1"/>
  <c r="S166" i="1"/>
  <c r="S220" i="1"/>
  <c r="S270" i="1"/>
  <c r="S314" i="1"/>
  <c r="S357" i="1"/>
  <c r="S396" i="1"/>
  <c r="S435" i="1"/>
  <c r="S468" i="1"/>
  <c r="S6" i="1"/>
  <c r="R51" i="1"/>
  <c r="S60" i="1"/>
  <c r="S113" i="1"/>
  <c r="S168" i="1"/>
  <c r="S221" i="1"/>
  <c r="S271" i="1"/>
  <c r="S315" i="1"/>
  <c r="S358" i="1"/>
  <c r="S400" i="1"/>
  <c r="S437" i="1"/>
  <c r="S473" i="1"/>
  <c r="R81" i="1"/>
  <c r="S62" i="1"/>
  <c r="S170" i="1"/>
  <c r="S222" i="1"/>
  <c r="S273" i="1"/>
  <c r="S316" i="1"/>
  <c r="S360" i="1"/>
  <c r="S401" i="1"/>
  <c r="S438" i="1"/>
  <c r="S478" i="1"/>
  <c r="S41" i="1"/>
  <c r="S262" i="1"/>
  <c r="S424" i="1"/>
  <c r="S76" i="1"/>
  <c r="S445" i="1"/>
  <c r="S123" i="1"/>
  <c r="R424" i="1"/>
  <c r="S130" i="1"/>
  <c r="S69" i="1"/>
  <c r="S279" i="1"/>
  <c r="S444" i="1"/>
  <c r="S285" i="1"/>
  <c r="S322" i="1"/>
  <c r="S328" i="1"/>
  <c r="S101" i="1"/>
  <c r="S305" i="1"/>
  <c r="S463" i="1"/>
  <c r="S481" i="1"/>
  <c r="S482" i="1"/>
  <c r="S156" i="1"/>
  <c r="S349" i="1"/>
  <c r="S502" i="1"/>
  <c r="R91" i="1"/>
  <c r="S372" i="1"/>
  <c r="S209" i="1"/>
  <c r="S402" i="1"/>
  <c r="S238" i="1"/>
  <c r="S177" i="1"/>
  <c r="S365" i="1"/>
  <c r="R473" i="1"/>
  <c r="S184" i="1"/>
  <c r="S391" i="1"/>
  <c r="S231" i="1"/>
  <c r="R122" i="1"/>
  <c r="S409" i="1"/>
  <c r="R233" i="1"/>
  <c r="R24" i="1"/>
  <c r="R493" i="1"/>
  <c r="R307" i="1"/>
  <c r="R231" i="1"/>
  <c r="R106" i="1"/>
  <c r="R203" i="1"/>
  <c r="R313" i="1"/>
  <c r="R14" i="1"/>
  <c r="R266" i="1"/>
  <c r="R78" i="1"/>
  <c r="R419" i="1"/>
  <c r="R13" i="1"/>
  <c r="R451" i="1"/>
  <c r="R238" i="1" l="1"/>
  <c r="R237" i="1"/>
  <c r="R394" i="1"/>
  <c r="R155" i="1"/>
  <c r="R396" i="1"/>
  <c r="R209" i="1"/>
  <c r="T317" i="1"/>
  <c r="T167" i="1"/>
  <c r="T479" i="1"/>
  <c r="T353" i="1"/>
  <c r="T347" i="1"/>
  <c r="R131" i="1"/>
  <c r="R53" i="1"/>
  <c r="R406" i="1"/>
  <c r="R448" i="1"/>
  <c r="R374" i="1"/>
  <c r="T339" i="1"/>
  <c r="R174" i="1"/>
  <c r="T107" i="1"/>
  <c r="T309" i="1"/>
  <c r="R312" i="1"/>
  <c r="R258" i="1"/>
  <c r="R248" i="1"/>
  <c r="R83" i="1"/>
  <c r="T13" i="1"/>
  <c r="U13" i="1" s="1"/>
  <c r="R240" i="1"/>
  <c r="R124" i="1"/>
  <c r="R26" i="1"/>
  <c r="R379" i="1"/>
  <c r="R420" i="1"/>
  <c r="R135" i="1"/>
  <c r="R148" i="1"/>
  <c r="T333" i="1"/>
  <c r="R154" i="1"/>
  <c r="R59" i="1"/>
  <c r="R103" i="1"/>
  <c r="R304" i="1"/>
  <c r="R421" i="1"/>
  <c r="R351" i="1"/>
  <c r="R56" i="1"/>
  <c r="T116" i="1"/>
  <c r="R29" i="1"/>
  <c r="R452" i="1"/>
  <c r="R87" i="1"/>
  <c r="R480" i="1"/>
  <c r="R462" i="1"/>
  <c r="R362" i="1"/>
  <c r="T329" i="1"/>
  <c r="T34" i="1"/>
  <c r="R314" i="1"/>
  <c r="R503" i="1"/>
  <c r="R252" i="1"/>
  <c r="R41" i="1"/>
  <c r="R40" i="1"/>
  <c r="R502" i="1"/>
  <c r="R352" i="1"/>
  <c r="R226" i="1"/>
  <c r="R432" i="1"/>
  <c r="R6" i="1"/>
  <c r="T266" i="1"/>
  <c r="U266" i="1" s="1"/>
  <c r="T497" i="1"/>
  <c r="T439" i="1"/>
  <c r="T326" i="1"/>
  <c r="R191" i="1"/>
  <c r="R216" i="1"/>
  <c r="R47" i="1"/>
  <c r="R389" i="1"/>
  <c r="R118" i="1"/>
  <c r="R180" i="1"/>
  <c r="R58" i="1"/>
  <c r="R363" i="1"/>
  <c r="R109" i="1"/>
  <c r="R43" i="1"/>
  <c r="R271" i="1"/>
  <c r="T137" i="1"/>
  <c r="T375" i="1"/>
  <c r="T351" i="1"/>
  <c r="T232" i="1"/>
  <c r="R95" i="1"/>
  <c r="R134" i="1"/>
  <c r="R71" i="1"/>
  <c r="R157" i="1"/>
  <c r="R310" i="1"/>
  <c r="R212" i="1"/>
  <c r="R300" i="1"/>
  <c r="R86" i="1"/>
  <c r="R151" i="1"/>
  <c r="R488" i="1"/>
  <c r="R146" i="1"/>
  <c r="T221" i="1"/>
  <c r="T448" i="1"/>
  <c r="T273" i="1"/>
  <c r="T426" i="1"/>
  <c r="R232" i="1"/>
  <c r="R186" i="1"/>
  <c r="R60" i="1"/>
  <c r="R89" i="1"/>
  <c r="R311" i="1"/>
  <c r="R264" i="1"/>
  <c r="R302" i="1"/>
  <c r="R104" i="1"/>
  <c r="R173" i="1"/>
  <c r="R115" i="1"/>
  <c r="R80" i="1"/>
  <c r="R440" i="1"/>
  <c r="R441" i="1"/>
  <c r="T27" i="1"/>
  <c r="T300" i="1"/>
  <c r="T198" i="1"/>
  <c r="T162" i="1"/>
  <c r="R387" i="1"/>
  <c r="R460" i="1"/>
  <c r="R341" i="1"/>
  <c r="R36" i="1"/>
  <c r="R296" i="1"/>
  <c r="R255" i="1"/>
  <c r="R256" i="1"/>
  <c r="R327" i="1"/>
  <c r="R343" i="1"/>
  <c r="R498" i="1"/>
  <c r="R382" i="1"/>
  <c r="T476" i="1"/>
  <c r="T318" i="1"/>
  <c r="T203" i="1"/>
  <c r="U203" i="1" s="1"/>
  <c r="T292" i="1"/>
  <c r="R126" i="1"/>
  <c r="R220" i="1"/>
  <c r="R137" i="1"/>
  <c r="R197" i="1"/>
  <c r="R204" i="1"/>
  <c r="R170" i="1"/>
  <c r="R276" i="1"/>
  <c r="R54" i="1"/>
  <c r="R153" i="1"/>
  <c r="R459" i="1"/>
  <c r="R164" i="1"/>
  <c r="R98" i="1"/>
  <c r="T108" i="1"/>
  <c r="T305" i="1"/>
  <c r="T451" i="1"/>
  <c r="U451" i="1" s="1"/>
  <c r="T452" i="1"/>
  <c r="R274" i="1"/>
  <c r="R246" i="1"/>
  <c r="R431" i="1"/>
  <c r="R90" i="1"/>
  <c r="R437" i="1"/>
  <c r="R184" i="1"/>
  <c r="R66" i="1"/>
  <c r="R293" i="1"/>
  <c r="R62" i="1"/>
  <c r="R76" i="1"/>
  <c r="R283" i="1"/>
  <c r="R70" i="1"/>
  <c r="R67" i="1"/>
  <c r="R309" i="1"/>
  <c r="T373" i="1"/>
  <c r="T96" i="1"/>
  <c r="T278" i="1"/>
  <c r="T11" i="1"/>
  <c r="R444" i="1"/>
  <c r="R22" i="1"/>
  <c r="R461" i="1"/>
  <c r="R167" i="1"/>
  <c r="R102" i="1"/>
  <c r="R407" i="1"/>
  <c r="R144" i="1"/>
  <c r="R49" i="1"/>
  <c r="R323" i="1"/>
  <c r="R485" i="1"/>
  <c r="R110" i="1"/>
  <c r="R367" i="1"/>
  <c r="R171" i="1"/>
  <c r="R384" i="1"/>
  <c r="T336" i="1"/>
  <c r="T21" i="1"/>
  <c r="T322" i="1"/>
  <c r="T458" i="1"/>
  <c r="R491" i="1"/>
  <c r="R223" i="1"/>
  <c r="R190" i="1"/>
  <c r="R404" i="1"/>
  <c r="R35" i="1"/>
  <c r="R225" i="1"/>
  <c r="R430" i="1"/>
  <c r="R181" i="1"/>
  <c r="R79" i="1"/>
  <c r="R418" i="1"/>
  <c r="R117" i="1"/>
  <c r="R235" i="1"/>
  <c r="R324" i="1"/>
  <c r="T236" i="1"/>
  <c r="T104" i="1"/>
  <c r="T174" i="1"/>
  <c r="T447" i="1"/>
  <c r="T503" i="1"/>
  <c r="R410" i="1"/>
  <c r="R8" i="1"/>
  <c r="R468" i="1"/>
  <c r="R194" i="1"/>
  <c r="R77" i="1"/>
  <c r="T9" i="1"/>
  <c r="T48" i="1"/>
  <c r="T482" i="1"/>
  <c r="T428" i="1"/>
  <c r="T262" i="1"/>
  <c r="R321" i="1"/>
  <c r="R178" i="1"/>
  <c r="R405" i="1"/>
  <c r="R445" i="1"/>
  <c r="R228" i="1"/>
  <c r="R136" i="1"/>
  <c r="R132" i="1"/>
  <c r="R229" i="1"/>
  <c r="R413" i="1"/>
  <c r="R278" i="1"/>
  <c r="R156" i="1"/>
  <c r="R187" i="1"/>
  <c r="R289" i="1"/>
  <c r="R298" i="1"/>
  <c r="R472" i="1"/>
  <c r="R152" i="1"/>
  <c r="R257" i="1"/>
  <c r="R112" i="1"/>
  <c r="R486" i="1"/>
  <c r="R361" i="1"/>
  <c r="R128" i="1"/>
  <c r="R443" i="1"/>
  <c r="R339" i="1"/>
  <c r="T313" i="1"/>
  <c r="U313" i="1" s="1"/>
  <c r="T122" i="1"/>
  <c r="U122" i="1" s="1"/>
  <c r="T89" i="1"/>
  <c r="T63" i="1"/>
  <c r="T195" i="1"/>
  <c r="T354" i="1"/>
  <c r="T33" i="1"/>
  <c r="T109" i="1"/>
  <c r="T340" i="1"/>
  <c r="T149" i="1"/>
  <c r="T467" i="1"/>
  <c r="R337" i="1"/>
  <c r="T263" i="1"/>
  <c r="T379" i="1"/>
  <c r="T396" i="1"/>
  <c r="T238" i="1"/>
  <c r="U238" i="1" s="1"/>
  <c r="T103" i="1"/>
  <c r="T356" i="1"/>
  <c r="R490" i="1"/>
  <c r="T424" i="1"/>
  <c r="U424" i="1" s="1"/>
  <c r="T95" i="1"/>
  <c r="T371" i="1"/>
  <c r="T201" i="1"/>
  <c r="T327" i="1"/>
  <c r="T433" i="1"/>
  <c r="U433" i="1" s="1"/>
  <c r="T92" i="1"/>
  <c r="T233" i="1"/>
  <c r="U233" i="1" s="1"/>
  <c r="R100" i="1"/>
  <c r="R218" i="1"/>
  <c r="R93" i="1"/>
  <c r="R470" i="1"/>
  <c r="T289" i="1"/>
  <c r="T281" i="1"/>
  <c r="T365" i="1"/>
  <c r="T502" i="1"/>
  <c r="T296" i="1"/>
  <c r="U296" i="1" s="1"/>
  <c r="T384" i="1"/>
  <c r="T244" i="1"/>
  <c r="T120" i="1"/>
  <c r="T165" i="1"/>
  <c r="R201" i="1"/>
  <c r="R487" i="1"/>
  <c r="T62" i="1"/>
  <c r="T216" i="1"/>
  <c r="T394" i="1"/>
  <c r="U394" i="1" s="1"/>
  <c r="T31" i="1"/>
  <c r="T355" i="1"/>
  <c r="T496" i="1"/>
  <c r="R222" i="1"/>
  <c r="R34" i="1"/>
  <c r="R159" i="1"/>
  <c r="R499" i="1"/>
  <c r="T231" i="1"/>
  <c r="U231" i="1" s="1"/>
  <c r="T346" i="1"/>
  <c r="T148" i="1"/>
  <c r="T435" i="1"/>
  <c r="T19" i="1"/>
  <c r="T227" i="1"/>
  <c r="T377" i="1"/>
  <c r="R166" i="1"/>
  <c r="R269" i="1"/>
  <c r="R267" i="1"/>
  <c r="R52" i="1"/>
  <c r="R224" i="1"/>
  <c r="R179" i="1"/>
  <c r="R349" i="1"/>
  <c r="R316" i="1"/>
  <c r="R388" i="1"/>
  <c r="R353" i="1"/>
  <c r="R287" i="1"/>
  <c r="R259" i="1"/>
  <c r="R45" i="1"/>
  <c r="R127" i="1"/>
  <c r="R44" i="1"/>
  <c r="R63" i="1"/>
  <c r="R504" i="1"/>
  <c r="R85" i="1"/>
  <c r="R417" i="1"/>
  <c r="R442" i="1"/>
  <c r="T272" i="1"/>
  <c r="T142" i="1"/>
  <c r="T402" i="1"/>
  <c r="T146" i="1"/>
  <c r="T416" i="1"/>
  <c r="T489" i="1"/>
  <c r="T118" i="1"/>
  <c r="T469" i="1"/>
  <c r="T362" i="1"/>
  <c r="T67" i="1"/>
  <c r="T254" i="1"/>
  <c r="T211" i="1"/>
  <c r="T434" i="1"/>
  <c r="T193" i="1"/>
  <c r="T328" i="1"/>
  <c r="T192" i="1"/>
  <c r="T214" i="1"/>
  <c r="T140" i="1"/>
  <c r="T311" i="1"/>
  <c r="U311" i="1" s="1"/>
  <c r="T283" i="1"/>
  <c r="R484" i="1"/>
  <c r="R305" i="1"/>
  <c r="R192" i="1"/>
  <c r="R469" i="1"/>
  <c r="R315" i="1"/>
  <c r="R207" i="1"/>
  <c r="R168" i="1"/>
  <c r="R82" i="1"/>
  <c r="R277" i="1"/>
  <c r="R250" i="1"/>
  <c r="R272" i="1"/>
  <c r="R116" i="1"/>
  <c r="R436" i="1"/>
  <c r="R466" i="1"/>
  <c r="R390" i="1"/>
  <c r="R393" i="1"/>
  <c r="R402" i="1"/>
  <c r="R254" i="1"/>
  <c r="R326" i="1"/>
  <c r="R334" i="1"/>
  <c r="R161" i="1"/>
  <c r="R69" i="1"/>
  <c r="R113" i="1"/>
  <c r="R477" i="1"/>
  <c r="T228" i="1"/>
  <c r="T189" i="1"/>
  <c r="T100" i="1"/>
  <c r="T275" i="1"/>
  <c r="T113" i="1"/>
  <c r="T242" i="1"/>
  <c r="R196" i="1"/>
  <c r="R403" i="1"/>
  <c r="R16" i="1"/>
  <c r="R383" i="1"/>
  <c r="R467" i="1"/>
  <c r="R400" i="1"/>
  <c r="R176" i="1"/>
  <c r="R143" i="1"/>
  <c r="R397" i="1"/>
  <c r="R333" i="1"/>
  <c r="R94" i="1"/>
  <c r="R158" i="1"/>
  <c r="R245" i="1"/>
  <c r="R12" i="1"/>
  <c r="R455" i="1"/>
  <c r="R332" i="1"/>
  <c r="R260" i="1"/>
  <c r="R214" i="1"/>
  <c r="R453" i="1"/>
  <c r="R365" i="1"/>
  <c r="R206" i="1"/>
  <c r="R61" i="1"/>
  <c r="R391" i="1"/>
  <c r="R142" i="1"/>
  <c r="R243" i="1"/>
  <c r="R200" i="1"/>
  <c r="R447" i="1"/>
  <c r="R64" i="1"/>
  <c r="R471" i="1"/>
  <c r="R7" i="1"/>
  <c r="R457" i="1"/>
  <c r="R306" i="1"/>
  <c r="R21" i="1"/>
  <c r="R345" i="1"/>
  <c r="R427" i="1"/>
  <c r="T188" i="1"/>
  <c r="T464" i="1"/>
  <c r="T264" i="1"/>
  <c r="T345" i="1"/>
  <c r="T337" i="1"/>
  <c r="T51" i="1"/>
  <c r="U51" i="1" s="1"/>
  <c r="T12" i="1"/>
  <c r="T501" i="1"/>
  <c r="T37" i="1"/>
  <c r="T374" i="1"/>
  <c r="T259" i="1"/>
  <c r="T88" i="1"/>
  <c r="T132" i="1"/>
  <c r="R17" i="1"/>
  <c r="R138" i="1"/>
  <c r="R30" i="1"/>
  <c r="R262" i="1"/>
  <c r="U262" i="1" s="1"/>
  <c r="R185" i="1"/>
  <c r="R284" i="1"/>
  <c r="R280" i="1"/>
  <c r="R130" i="1"/>
  <c r="R92" i="1"/>
  <c r="R292" i="1"/>
  <c r="R331" i="1"/>
  <c r="R172" i="1"/>
  <c r="R354" i="1"/>
  <c r="R227" i="1"/>
  <c r="R147" i="1"/>
  <c r="R15" i="1"/>
  <c r="R73" i="1"/>
  <c r="R129" i="1"/>
  <c r="R210" i="1"/>
  <c r="R423" i="1"/>
  <c r="R253" i="1"/>
  <c r="R385" i="1"/>
  <c r="R317" i="1"/>
  <c r="R265" i="1"/>
  <c r="U265" i="1" s="1"/>
  <c r="R219" i="1"/>
  <c r="T446" i="1"/>
  <c r="T357" i="1"/>
  <c r="T257" i="1"/>
  <c r="T145" i="1"/>
  <c r="T158" i="1"/>
  <c r="T443" i="1"/>
  <c r="T241" i="1"/>
  <c r="T50" i="1"/>
  <c r="T280" i="1"/>
  <c r="T350" i="1"/>
  <c r="T93" i="1"/>
  <c r="T185" i="1"/>
  <c r="T440" i="1"/>
  <c r="R68" i="1"/>
  <c r="R489" i="1"/>
  <c r="U489" i="1" s="1"/>
  <c r="T414" i="1"/>
  <c r="T407" i="1"/>
  <c r="T26" i="1"/>
  <c r="U26" i="1" s="1"/>
  <c r="T286" i="1"/>
  <c r="T459" i="1"/>
  <c r="T112" i="1"/>
  <c r="U112" i="1" s="1"/>
  <c r="T387" i="1"/>
  <c r="T248" i="1"/>
  <c r="T126" i="1"/>
  <c r="T23" i="1"/>
  <c r="T66" i="1"/>
  <c r="T222" i="1"/>
  <c r="U222" i="1" s="1"/>
  <c r="T125" i="1"/>
  <c r="T352" i="1"/>
  <c r="T431" i="1"/>
  <c r="T94" i="1"/>
  <c r="T269" i="1"/>
  <c r="R348" i="1"/>
  <c r="R395" i="1"/>
  <c r="R425" i="1"/>
  <c r="T466" i="1"/>
  <c r="T457" i="1"/>
  <c r="T240" i="1"/>
  <c r="T64" i="1"/>
  <c r="U64" i="1" s="1"/>
  <c r="T179" i="1"/>
  <c r="T70" i="1"/>
  <c r="T65" i="1"/>
  <c r="T224" i="1"/>
  <c r="T157" i="1"/>
  <c r="T121" i="1"/>
  <c r="T73" i="1"/>
  <c r="T97" i="1"/>
  <c r="T87" i="1"/>
  <c r="T220" i="1"/>
  <c r="T492" i="1"/>
  <c r="T383" i="1"/>
  <c r="T223" i="1"/>
  <c r="T472" i="1"/>
  <c r="R205" i="1"/>
  <c r="R366" i="1"/>
  <c r="R378" i="1"/>
  <c r="R483" i="1"/>
  <c r="T173" i="1"/>
  <c r="T425" i="1"/>
  <c r="T24" i="1"/>
  <c r="U24" i="1" s="1"/>
  <c r="T49" i="1"/>
  <c r="U49" i="1" s="1"/>
  <c r="T303" i="1"/>
  <c r="T453" i="1"/>
  <c r="T261" i="1"/>
  <c r="T119" i="1"/>
  <c r="T15" i="1"/>
  <c r="T468" i="1"/>
  <c r="T160" i="1"/>
  <c r="T85" i="1"/>
  <c r="T297" i="1"/>
  <c r="T427" i="1"/>
  <c r="T128" i="1"/>
  <c r="U128" i="1" s="1"/>
  <c r="T420" i="1"/>
  <c r="T206" i="1"/>
  <c r="T349" i="1"/>
  <c r="T59" i="1"/>
  <c r="T90" i="1"/>
  <c r="U90" i="1" s="1"/>
  <c r="T475" i="1"/>
  <c r="T395" i="1"/>
  <c r="T429" i="1"/>
  <c r="T319" i="1"/>
  <c r="T415" i="1"/>
  <c r="T20" i="1"/>
  <c r="T386" i="1"/>
  <c r="T418" i="1"/>
  <c r="T408" i="1"/>
  <c r="T16" i="1"/>
  <c r="T156" i="1"/>
  <c r="T372" i="1"/>
  <c r="T400" i="1"/>
  <c r="T442" i="1"/>
  <c r="T54" i="1"/>
  <c r="U54" i="1" s="1"/>
  <c r="T213" i="1"/>
  <c r="T41" i="1"/>
  <c r="T304" i="1"/>
  <c r="T191" i="1"/>
  <c r="T75" i="1"/>
  <c r="T393" i="1"/>
  <c r="T130" i="1"/>
  <c r="T168" i="1"/>
  <c r="T159" i="1"/>
  <c r="U159" i="1" s="1"/>
  <c r="T397" i="1"/>
  <c r="T212" i="1"/>
  <c r="T32" i="1"/>
  <c r="T295" i="1"/>
  <c r="T139" i="1"/>
  <c r="T181" i="1"/>
  <c r="T101" i="1"/>
  <c r="T277" i="1"/>
  <c r="T480" i="1"/>
  <c r="T155" i="1"/>
  <c r="T196" i="1"/>
  <c r="T210" i="1"/>
  <c r="T455" i="1"/>
  <c r="T412" i="1"/>
  <c r="T488" i="1"/>
  <c r="T444" i="1"/>
  <c r="T385" i="1"/>
  <c r="T247" i="1"/>
  <c r="T342" i="1"/>
  <c r="T138" i="1"/>
  <c r="T399" i="1"/>
  <c r="T413" i="1"/>
  <c r="T506" i="1"/>
  <c r="T164" i="1"/>
  <c r="T338" i="1"/>
  <c r="T302" i="1"/>
  <c r="T56" i="1"/>
  <c r="R456" i="1"/>
  <c r="R328" i="1"/>
  <c r="R506" i="1"/>
  <c r="R426" i="1"/>
  <c r="R275" i="1"/>
  <c r="R193" i="1"/>
  <c r="R199" i="1"/>
  <c r="R38" i="1"/>
  <c r="R344" i="1"/>
  <c r="R75" i="1"/>
  <c r="R347" i="1"/>
  <c r="T348" i="1"/>
  <c r="T169" i="1"/>
  <c r="T474" i="1"/>
  <c r="T260" i="1"/>
  <c r="T298" i="1"/>
  <c r="T30" i="1"/>
  <c r="T432" i="1"/>
  <c r="T8" i="1"/>
  <c r="T71" i="1"/>
  <c r="T144" i="1"/>
  <c r="T481" i="1"/>
  <c r="T84" i="1"/>
  <c r="T76" i="1"/>
  <c r="T40" i="1"/>
  <c r="T268" i="1"/>
  <c r="T332" i="1"/>
  <c r="T45" i="1"/>
  <c r="T78" i="1"/>
  <c r="U78" i="1" s="1"/>
  <c r="T410" i="1"/>
  <c r="T102" i="1"/>
  <c r="T18" i="1"/>
  <c r="T68" i="1"/>
  <c r="T177" i="1"/>
  <c r="T42" i="1"/>
  <c r="T153" i="1"/>
  <c r="U153" i="1" s="1"/>
  <c r="T183" i="1"/>
  <c r="T490" i="1"/>
  <c r="T465" i="1"/>
  <c r="T449" i="1"/>
  <c r="R458" i="1"/>
  <c r="R336" i="1"/>
  <c r="R9" i="1"/>
  <c r="R429" i="1"/>
  <c r="R360" i="1"/>
  <c r="R33" i="1"/>
  <c r="R495" i="1"/>
  <c r="R386" i="1"/>
  <c r="R372" i="1"/>
  <c r="R454" i="1"/>
  <c r="R376" i="1"/>
  <c r="R239" i="1"/>
  <c r="R31" i="1"/>
  <c r="R25" i="1"/>
  <c r="R496" i="1"/>
  <c r="R105" i="1"/>
  <c r="R72" i="1"/>
  <c r="R46" i="1"/>
  <c r="R208" i="1"/>
  <c r="R88" i="1"/>
  <c r="R108" i="1"/>
  <c r="R286" i="1"/>
  <c r="R318" i="1"/>
  <c r="R145" i="1"/>
  <c r="R65" i="1"/>
  <c r="R261" i="1"/>
  <c r="R340" i="1"/>
  <c r="R39" i="1"/>
  <c r="T366" i="1"/>
  <c r="T230" i="1"/>
  <c r="T361" i="1"/>
  <c r="T436" i="1"/>
  <c r="T378" i="1"/>
  <c r="T134" i="1"/>
  <c r="U134" i="1" s="1"/>
  <c r="T308" i="1"/>
  <c r="T77" i="1"/>
  <c r="T52" i="1"/>
  <c r="T285" i="1"/>
  <c r="T321" i="1"/>
  <c r="T180" i="1"/>
  <c r="T208" i="1"/>
  <c r="T141" i="1"/>
  <c r="T249" i="1"/>
  <c r="T29" i="1"/>
  <c r="U29" i="1" s="1"/>
  <c r="T392" i="1"/>
  <c r="T154" i="1"/>
  <c r="T199" i="1"/>
  <c r="T202" i="1"/>
  <c r="T61" i="1"/>
  <c r="T225" i="1"/>
  <c r="T186" i="1"/>
  <c r="T307" i="1"/>
  <c r="U307" i="1" s="1"/>
  <c r="T323" i="1"/>
  <c r="T267" i="1"/>
  <c r="T360" i="1"/>
  <c r="T255" i="1"/>
  <c r="T382" i="1"/>
  <c r="T389" i="1"/>
  <c r="T460" i="1"/>
  <c r="T171" i="1"/>
  <c r="T376" i="1"/>
  <c r="T341" i="1"/>
  <c r="T253" i="1"/>
  <c r="T111" i="1"/>
  <c r="T381" i="1"/>
  <c r="T293" i="1"/>
  <c r="T163" i="1"/>
  <c r="T310" i="1"/>
  <c r="T25" i="1"/>
  <c r="T486" i="1"/>
  <c r="U486" i="1" s="1"/>
  <c r="T135" i="1"/>
  <c r="T14" i="1"/>
  <c r="U14" i="1" s="1"/>
  <c r="T368" i="1"/>
  <c r="T39" i="1"/>
  <c r="T170" i="1"/>
  <c r="T299" i="1"/>
  <c r="T143" i="1"/>
  <c r="T367" i="1"/>
  <c r="T445" i="1"/>
  <c r="U445" i="1" s="1"/>
  <c r="T330" i="1"/>
  <c r="T197" i="1"/>
  <c r="T35" i="1"/>
  <c r="T131" i="1"/>
  <c r="T194" i="1"/>
  <c r="T274" i="1"/>
  <c r="R342" i="1"/>
  <c r="R297" i="1"/>
  <c r="R505" i="1"/>
  <c r="R464" i="1"/>
  <c r="R242" i="1"/>
  <c r="R169" i="1"/>
  <c r="R84" i="1"/>
  <c r="R11" i="1"/>
  <c r="R408" i="1"/>
  <c r="R163" i="1"/>
  <c r="R281" i="1"/>
  <c r="R370" i="1"/>
  <c r="R330" i="1"/>
  <c r="R37" i="1"/>
  <c r="R189" i="1"/>
  <c r="R422" i="1"/>
  <c r="R111" i="1"/>
  <c r="R320" i="1"/>
  <c r="R474" i="1"/>
  <c r="R213" i="1"/>
  <c r="U213" i="1" s="1"/>
  <c r="R329" i="1"/>
  <c r="T438" i="1"/>
  <c r="T152" i="1"/>
  <c r="T369" i="1"/>
  <c r="T91" i="1"/>
  <c r="U91" i="1" s="1"/>
  <c r="T36" i="1"/>
  <c r="T331" i="1"/>
  <c r="T441" i="1"/>
  <c r="T28" i="1"/>
  <c r="T215" i="1"/>
  <c r="T237" i="1"/>
  <c r="U237" i="1" s="1"/>
  <c r="T184" i="1"/>
  <c r="T498" i="1"/>
  <c r="T493" i="1"/>
  <c r="U493" i="1" s="1"/>
  <c r="T161" i="1"/>
  <c r="T391" i="1"/>
  <c r="T276" i="1"/>
  <c r="U276" i="1" s="1"/>
  <c r="T166" i="1"/>
  <c r="T478" i="1"/>
  <c r="T287" i="1"/>
  <c r="T470" i="1"/>
  <c r="T239" i="1"/>
  <c r="T256" i="1"/>
  <c r="T282" i="1"/>
  <c r="T38" i="1"/>
  <c r="T358" i="1"/>
  <c r="T209" i="1"/>
  <c r="U209" i="1" s="1"/>
  <c r="T234" i="1"/>
  <c r="T226" i="1"/>
  <c r="T172" i="1"/>
  <c r="T306" i="1"/>
  <c r="T127" i="1"/>
  <c r="U127" i="1" s="1"/>
  <c r="T312" i="1"/>
  <c r="T252" i="1"/>
  <c r="T363" i="1"/>
  <c r="T359" i="1"/>
  <c r="R476" i="1"/>
  <c r="R500" i="1"/>
  <c r="R299" i="1"/>
  <c r="R356" i="1"/>
  <c r="R183" i="1"/>
  <c r="R357" i="1"/>
  <c r="R294" i="1"/>
  <c r="R107" i="1"/>
  <c r="R364" i="1"/>
  <c r="R325" i="1"/>
  <c r="R230" i="1"/>
  <c r="R241" i="1"/>
  <c r="R335" i="1"/>
  <c r="R268" i="1"/>
  <c r="R123" i="1"/>
  <c r="R182" i="1"/>
  <c r="R28" i="1"/>
  <c r="R319" i="1"/>
  <c r="R55" i="1"/>
  <c r="R463" i="1"/>
  <c r="R434" i="1"/>
  <c r="R211" i="1"/>
  <c r="R165" i="1"/>
  <c r="R409" i="1"/>
  <c r="R497" i="1"/>
  <c r="R449" i="1"/>
  <c r="R251" i="1"/>
  <c r="R175" i="1"/>
  <c r="R481" i="1"/>
  <c r="R121" i="1"/>
  <c r="R285" i="1"/>
  <c r="R48" i="1"/>
  <c r="R215" i="1"/>
  <c r="R438" i="1"/>
  <c r="R273" i="1"/>
  <c r="T504" i="1"/>
  <c r="T205" i="1"/>
  <c r="T417" i="1"/>
  <c r="T79" i="1"/>
  <c r="T437" i="1"/>
  <c r="T57" i="1"/>
  <c r="T370" i="1"/>
  <c r="T178" i="1"/>
  <c r="T271" i="1"/>
  <c r="U271" i="1" s="1"/>
  <c r="T294" i="1"/>
  <c r="T133" i="1"/>
  <c r="T334" i="1"/>
  <c r="T53" i="1"/>
  <c r="T403" i="1"/>
  <c r="T487" i="1"/>
  <c r="T494" i="1"/>
  <c r="T136" i="1"/>
  <c r="T81" i="1"/>
  <c r="U81" i="1" s="1"/>
  <c r="T235" i="1"/>
  <c r="T110" i="1"/>
  <c r="U110" i="1" s="1"/>
  <c r="T301" i="1"/>
  <c r="U301" i="1" s="1"/>
  <c r="T343" i="1"/>
  <c r="T251" i="1"/>
  <c r="T454" i="1"/>
  <c r="T187" i="1"/>
  <c r="T176" i="1"/>
  <c r="T22" i="1"/>
  <c r="T398" i="1"/>
  <c r="T344" i="1"/>
  <c r="T106" i="1"/>
  <c r="U106" i="1" s="1"/>
  <c r="T450" i="1"/>
  <c r="U450" i="1" s="1"/>
  <c r="T114" i="1"/>
  <c r="T471" i="1"/>
  <c r="U471" i="1" s="1"/>
  <c r="T245" i="1"/>
  <c r="T473" i="1"/>
  <c r="U473" i="1" s="1"/>
  <c r="T270" i="1"/>
  <c r="T284" i="1"/>
  <c r="T380" i="1"/>
  <c r="T495" i="1"/>
  <c r="T279" i="1"/>
  <c r="T115" i="1"/>
  <c r="T83" i="1"/>
  <c r="T124" i="1"/>
  <c r="T60" i="1"/>
  <c r="T10" i="1"/>
  <c r="T243" i="1"/>
  <c r="T320" i="1"/>
  <c r="T72" i="1"/>
  <c r="T219" i="1"/>
  <c r="T463" i="1"/>
  <c r="T462" i="1"/>
  <c r="T491" i="1"/>
  <c r="U491" i="1" s="1"/>
  <c r="T47" i="1"/>
  <c r="T290" i="1"/>
  <c r="T404" i="1"/>
  <c r="U404" i="1" s="1"/>
  <c r="T7" i="1"/>
  <c r="T406" i="1"/>
  <c r="U406" i="1" s="1"/>
  <c r="T421" i="1"/>
  <c r="U421" i="1" s="1"/>
  <c r="T246" i="1"/>
  <c r="T315" i="1"/>
  <c r="T288" i="1"/>
  <c r="T6" i="1"/>
  <c r="T190" i="1"/>
  <c r="T58" i="1"/>
  <c r="U58" i="1" s="1"/>
  <c r="T129" i="1"/>
  <c r="T483" i="1"/>
  <c r="T86" i="1"/>
  <c r="T175" i="1"/>
  <c r="T82" i="1"/>
  <c r="T505" i="1"/>
  <c r="T55" i="1"/>
  <c r="T477" i="1"/>
  <c r="T204" i="1"/>
  <c r="T405" i="1"/>
  <c r="T44" i="1"/>
  <c r="T390" i="1"/>
  <c r="T423" i="1"/>
  <c r="R358" i="1"/>
  <c r="R492" i="1"/>
  <c r="R338" i="1"/>
  <c r="R133" i="1"/>
  <c r="R270" i="1"/>
  <c r="R303" i="1"/>
  <c r="R57" i="1"/>
  <c r="R282" i="1"/>
  <c r="R141" i="1"/>
  <c r="R279" i="1"/>
  <c r="R381" i="1"/>
  <c r="R32" i="1"/>
  <c r="R401" i="1"/>
  <c r="R322" i="1"/>
  <c r="R392" i="1"/>
  <c r="R377" i="1"/>
  <c r="R475" i="1"/>
  <c r="U475" i="1" s="1"/>
  <c r="R478" i="1"/>
  <c r="R414" i="1"/>
  <c r="R399" i="1"/>
  <c r="R160" i="1"/>
  <c r="R140" i="1"/>
  <c r="R416" i="1"/>
  <c r="R350" i="1"/>
  <c r="R494" i="1"/>
  <c r="R398" i="1"/>
  <c r="R288" i="1"/>
  <c r="R74" i="1"/>
  <c r="R119" i="1"/>
  <c r="R373" i="1"/>
  <c r="R412" i="1"/>
  <c r="R162" i="1"/>
  <c r="R23" i="1"/>
  <c r="R355" i="1"/>
  <c r="R150" i="1"/>
  <c r="R291" i="1"/>
  <c r="R18" i="1"/>
  <c r="R198" i="1"/>
  <c r="U198" i="1" s="1"/>
  <c r="R263" i="1"/>
  <c r="R435" i="1"/>
  <c r="R120" i="1"/>
  <c r="R428" i="1"/>
  <c r="T200" i="1"/>
  <c r="T207" i="1"/>
  <c r="T74" i="1"/>
  <c r="T364" i="1"/>
  <c r="T316" i="1"/>
  <c r="T461" i="1"/>
  <c r="T218" i="1"/>
  <c r="T401" i="1"/>
  <c r="T500" i="1"/>
  <c r="T182" i="1"/>
  <c r="T314" i="1"/>
  <c r="U314" i="1" s="1"/>
  <c r="T250" i="1"/>
  <c r="T105" i="1"/>
  <c r="T419" i="1"/>
  <c r="U419" i="1" s="1"/>
  <c r="T422" i="1"/>
  <c r="T430" i="1"/>
  <c r="T46" i="1"/>
  <c r="T258" i="1"/>
  <c r="T98" i="1"/>
  <c r="T409" i="1"/>
  <c r="T324" i="1"/>
  <c r="T147" i="1"/>
  <c r="T229" i="1"/>
  <c r="T335" i="1"/>
  <c r="T117" i="1"/>
  <c r="T80" i="1"/>
  <c r="T456" i="1"/>
  <c r="T411" i="1"/>
  <c r="T123" i="1"/>
  <c r="T17" i="1"/>
  <c r="T485" i="1"/>
  <c r="T150" i="1"/>
  <c r="T99" i="1"/>
  <c r="T291" i="1"/>
  <c r="T69" i="1"/>
  <c r="T499" i="1"/>
  <c r="T484" i="1"/>
  <c r="T43" i="1"/>
  <c r="T388" i="1"/>
  <c r="U388" i="1" s="1"/>
  <c r="T217" i="1"/>
  <c r="T325" i="1"/>
  <c r="T151" i="1"/>
  <c r="R249" i="1"/>
  <c r="R415" i="1"/>
  <c r="R368" i="1"/>
  <c r="R177" i="1"/>
  <c r="R375" i="1"/>
  <c r="U375" i="1" s="1"/>
  <c r="R99" i="1"/>
  <c r="R369" i="1"/>
  <c r="R195" i="1"/>
  <c r="R439" i="1"/>
  <c r="R295" i="1"/>
  <c r="R97" i="1"/>
  <c r="R482" i="1"/>
  <c r="U482" i="1" s="1"/>
  <c r="R346" i="1"/>
  <c r="R501" i="1"/>
  <c r="R465" i="1"/>
  <c r="R50" i="1"/>
  <c r="R19" i="1"/>
  <c r="R20" i="1"/>
  <c r="R139" i="1"/>
  <c r="R221" i="1"/>
  <c r="R290" i="1"/>
  <c r="R446" i="1"/>
  <c r="R188" i="1"/>
  <c r="R10" i="1"/>
  <c r="R411" i="1"/>
  <c r="R244" i="1"/>
  <c r="R114" i="1"/>
  <c r="U114" i="1" s="1"/>
  <c r="R125" i="1"/>
  <c r="R308" i="1"/>
  <c r="R217" i="1"/>
  <c r="R371" i="1"/>
  <c r="R101" i="1"/>
  <c r="R234" i="1"/>
  <c r="R27" i="1"/>
  <c r="R380" i="1"/>
  <c r="R236" i="1"/>
  <c r="U236" i="1" s="1"/>
  <c r="R149" i="1"/>
  <c r="R96" i="1"/>
  <c r="U96" i="1" s="1"/>
  <c r="R247" i="1"/>
  <c r="R359" i="1"/>
  <c r="R202" i="1"/>
  <c r="R42" i="1"/>
  <c r="U42" i="1" s="1"/>
  <c r="R479" i="1"/>
  <c r="U89" i="1" l="1"/>
  <c r="U83" i="1"/>
  <c r="U479" i="1"/>
  <c r="U363" i="1"/>
  <c r="U310" i="1"/>
  <c r="U396" i="1"/>
  <c r="U155" i="1"/>
  <c r="U138" i="1"/>
  <c r="U167" i="1"/>
  <c r="U503" i="1"/>
  <c r="U300" i="1"/>
  <c r="U439" i="1"/>
  <c r="U43" i="1"/>
  <c r="U162" i="1"/>
  <c r="U187" i="1"/>
  <c r="U53" i="1"/>
  <c r="U382" i="1"/>
  <c r="U135" i="1"/>
  <c r="U497" i="1"/>
  <c r="U476" i="1"/>
  <c r="U35" i="1"/>
  <c r="U389" i="1"/>
  <c r="U490" i="1"/>
  <c r="U317" i="1"/>
  <c r="U339" i="1"/>
  <c r="U430" i="1"/>
  <c r="U428" i="1"/>
  <c r="U212" i="1"/>
  <c r="U147" i="1"/>
  <c r="U323" i="1"/>
  <c r="U214" i="1"/>
  <c r="U351" i="1"/>
  <c r="U373" i="1"/>
  <c r="U201" i="1"/>
  <c r="U343" i="1"/>
  <c r="U246" i="1"/>
  <c r="U347" i="1"/>
  <c r="U103" i="1"/>
  <c r="U104" i="1"/>
  <c r="U170" i="1"/>
  <c r="U186" i="1"/>
  <c r="U353" i="1"/>
  <c r="U405" i="1"/>
  <c r="U6" i="1"/>
  <c r="U444" i="1"/>
  <c r="U367" i="1"/>
  <c r="U431" i="1"/>
  <c r="U443" i="1"/>
  <c r="U362" i="1"/>
  <c r="U60" i="1"/>
  <c r="U156" i="1"/>
  <c r="U59" i="1"/>
  <c r="U223" i="1"/>
  <c r="U278" i="1"/>
  <c r="U492" i="1"/>
  <c r="U357" i="1"/>
  <c r="U166" i="1"/>
  <c r="U496" i="1"/>
  <c r="U337" i="1"/>
  <c r="U27" i="1"/>
  <c r="U190" i="1"/>
  <c r="U22" i="1"/>
  <c r="U131" i="1"/>
  <c r="U460" i="1"/>
  <c r="U318" i="1"/>
  <c r="U181" i="1"/>
  <c r="U304" i="1"/>
  <c r="U427" i="1"/>
  <c r="U248" i="1"/>
  <c r="U95" i="1"/>
  <c r="U498" i="1"/>
  <c r="U329" i="1"/>
  <c r="U41" i="1"/>
  <c r="U173" i="1"/>
  <c r="U387" i="1"/>
  <c r="U216" i="1"/>
  <c r="U289" i="1"/>
  <c r="U109" i="1"/>
  <c r="U137" i="1"/>
  <c r="U309" i="1"/>
  <c r="U221" i="1"/>
  <c r="U195" i="1"/>
  <c r="U184" i="1"/>
  <c r="U11" i="1"/>
  <c r="U108" i="1"/>
  <c r="U40" i="1"/>
  <c r="U292" i="1"/>
  <c r="U62" i="1"/>
  <c r="U502" i="1"/>
  <c r="U452" i="1"/>
  <c r="U174" i="1"/>
  <c r="U152" i="1"/>
  <c r="U171" i="1"/>
  <c r="U426" i="1"/>
  <c r="U191" i="1"/>
  <c r="U87" i="1"/>
  <c r="U126" i="1"/>
  <c r="U326" i="1"/>
  <c r="U327" i="1"/>
  <c r="U232" i="1"/>
  <c r="U116" i="1"/>
  <c r="U293" i="1"/>
  <c r="U98" i="1"/>
  <c r="U341" i="1"/>
  <c r="U142" i="1"/>
  <c r="U263" i="1"/>
  <c r="U34" i="1"/>
  <c r="U379" i="1"/>
  <c r="U485" i="1"/>
  <c r="U146" i="1"/>
  <c r="U16" i="1"/>
  <c r="U384" i="1"/>
  <c r="U448" i="1"/>
  <c r="U462" i="1"/>
  <c r="U154" i="1"/>
  <c r="U80" i="1"/>
  <c r="U197" i="1"/>
  <c r="U333" i="1"/>
  <c r="U148" i="1"/>
  <c r="U273" i="1"/>
  <c r="U256" i="1"/>
  <c r="U255" i="1"/>
  <c r="U76" i="1"/>
  <c r="U56" i="1"/>
  <c r="U488" i="1"/>
  <c r="U157" i="1"/>
  <c r="U459" i="1"/>
  <c r="U374" i="1"/>
  <c r="U21" i="1"/>
  <c r="U252" i="1"/>
  <c r="U302" i="1"/>
  <c r="U365" i="1"/>
  <c r="U305" i="1"/>
  <c r="U67" i="1"/>
  <c r="U204" i="1"/>
  <c r="U441" i="1"/>
  <c r="U164" i="1"/>
  <c r="U472" i="1"/>
  <c r="U352" i="1"/>
  <c r="U63" i="1"/>
  <c r="U71" i="1"/>
  <c r="U118" i="1"/>
  <c r="U322" i="1"/>
  <c r="U86" i="1"/>
  <c r="U124" i="1"/>
  <c r="U36" i="1"/>
  <c r="U102" i="1"/>
  <c r="U312" i="1"/>
  <c r="U107" i="1"/>
  <c r="U144" i="1"/>
  <c r="U407" i="1"/>
  <c r="U283" i="1"/>
  <c r="U324" i="1"/>
  <c r="U180" i="1"/>
  <c r="U226" i="1"/>
  <c r="U336" i="1"/>
  <c r="U410" i="1"/>
  <c r="U432" i="1"/>
  <c r="U480" i="1"/>
  <c r="U240" i="1"/>
  <c r="U66" i="1"/>
  <c r="U48" i="1"/>
  <c r="U70" i="1"/>
  <c r="U151" i="1"/>
  <c r="U258" i="1"/>
  <c r="U461" i="1"/>
  <c r="U47" i="1"/>
  <c r="U115" i="1"/>
  <c r="U437" i="1"/>
  <c r="U274" i="1"/>
  <c r="U458" i="1"/>
  <c r="U420" i="1"/>
  <c r="U220" i="1"/>
  <c r="U440" i="1"/>
  <c r="U264" i="1"/>
  <c r="U361" i="1"/>
  <c r="U442" i="1"/>
  <c r="U395" i="1"/>
  <c r="U468" i="1"/>
  <c r="U94" i="1"/>
  <c r="U85" i="1"/>
  <c r="U229" i="1"/>
  <c r="U120" i="1"/>
  <c r="U470" i="1"/>
  <c r="U33" i="1"/>
  <c r="U228" i="1"/>
  <c r="U117" i="1"/>
  <c r="U435" i="1"/>
  <c r="U469" i="1"/>
  <c r="U178" i="1"/>
  <c r="U235" i="1"/>
  <c r="U321" i="1"/>
  <c r="U9" i="1"/>
  <c r="U8" i="1"/>
  <c r="U413" i="1"/>
  <c r="U257" i="1"/>
  <c r="U269" i="1"/>
  <c r="U225" i="1"/>
  <c r="U447" i="1"/>
  <c r="U132" i="1"/>
  <c r="U350" i="1"/>
  <c r="U136" i="1"/>
  <c r="U356" i="1"/>
  <c r="U391" i="1"/>
  <c r="U418" i="1"/>
  <c r="U227" i="1"/>
  <c r="U259" i="1"/>
  <c r="U188" i="1"/>
  <c r="U97" i="1"/>
  <c r="U316" i="1"/>
  <c r="U79" i="1"/>
  <c r="U281" i="1"/>
  <c r="U194" i="1"/>
  <c r="U77" i="1"/>
  <c r="U298" i="1"/>
  <c r="U354" i="1"/>
  <c r="U402" i="1"/>
  <c r="U82" i="1"/>
  <c r="U287" i="1"/>
  <c r="U158" i="1"/>
  <c r="U377" i="1"/>
  <c r="U12" i="1"/>
  <c r="U331" i="1"/>
  <c r="U196" i="1"/>
  <c r="U168" i="1"/>
  <c r="U185" i="1"/>
  <c r="U467" i="1"/>
  <c r="U272" i="1"/>
  <c r="U319" i="1"/>
  <c r="U297" i="1"/>
  <c r="U340" i="1"/>
  <c r="U464" i="1"/>
  <c r="U113" i="1"/>
  <c r="U121" i="1"/>
  <c r="U172" i="1"/>
  <c r="U149" i="1"/>
  <c r="U483" i="1"/>
  <c r="U193" i="1"/>
  <c r="U393" i="1"/>
  <c r="U345" i="1"/>
  <c r="U371" i="1"/>
  <c r="U165" i="1"/>
  <c r="U92" i="1"/>
  <c r="U100" i="1"/>
  <c r="U267" i="1"/>
  <c r="U244" i="1"/>
  <c r="U37" i="1"/>
  <c r="U130" i="1"/>
  <c r="U390" i="1"/>
  <c r="U466" i="1"/>
  <c r="U397" i="1"/>
  <c r="U50" i="1"/>
  <c r="U306" i="1"/>
  <c r="U189" i="1"/>
  <c r="U253" i="1"/>
  <c r="U349" i="1"/>
  <c r="U383" i="1"/>
  <c r="U346" i="1"/>
  <c r="U218" i="1"/>
  <c r="U206" i="1"/>
  <c r="U192" i="1"/>
  <c r="U487" i="1"/>
  <c r="U417" i="1"/>
  <c r="U93" i="1"/>
  <c r="U254" i="1"/>
  <c r="U143" i="1"/>
  <c r="U160" i="1"/>
  <c r="U179" i="1"/>
  <c r="U423" i="1"/>
  <c r="U241" i="1"/>
  <c r="U378" i="1"/>
  <c r="U315" i="1"/>
  <c r="U88" i="1"/>
  <c r="U19" i="1"/>
  <c r="U69" i="1"/>
  <c r="U119" i="1"/>
  <c r="U243" i="1"/>
  <c r="U245" i="1"/>
  <c r="U434" i="1"/>
  <c r="U242" i="1"/>
  <c r="U455" i="1"/>
  <c r="U400" i="1"/>
  <c r="U280" i="1"/>
  <c r="U453" i="1"/>
  <c r="U224" i="1"/>
  <c r="U403" i="1"/>
  <c r="U446" i="1"/>
  <c r="U207" i="1"/>
  <c r="U15" i="1"/>
  <c r="U161" i="1"/>
  <c r="U45" i="1"/>
  <c r="U355" i="1"/>
  <c r="U200" i="1"/>
  <c r="U334" i="1"/>
  <c r="U416" i="1"/>
  <c r="U501" i="1"/>
  <c r="U481" i="1"/>
  <c r="U17" i="1"/>
  <c r="U129" i="1"/>
  <c r="U61" i="1"/>
  <c r="U52" i="1"/>
  <c r="U65" i="1"/>
  <c r="U31" i="1"/>
  <c r="U30" i="1"/>
  <c r="U275" i="1"/>
  <c r="U277" i="1"/>
  <c r="U457" i="1"/>
  <c r="U210" i="1"/>
  <c r="U7" i="1"/>
  <c r="U46" i="1"/>
  <c r="U44" i="1"/>
  <c r="U332" i="1"/>
  <c r="U260" i="1"/>
  <c r="U425" i="1"/>
  <c r="U176" i="1"/>
  <c r="U205" i="1"/>
  <c r="U328" i="1"/>
  <c r="U385" i="1"/>
  <c r="U73" i="1"/>
  <c r="U140" i="1"/>
  <c r="U436" i="1"/>
  <c r="U348" i="1"/>
  <c r="U145" i="1"/>
  <c r="U219" i="1"/>
  <c r="U284" i="1"/>
  <c r="U504" i="1"/>
  <c r="U484" i="1"/>
  <c r="U477" i="1"/>
  <c r="U499" i="1"/>
  <c r="U250" i="1"/>
  <c r="U303" i="1"/>
  <c r="U211" i="1"/>
  <c r="U23" i="1"/>
  <c r="U286" i="1"/>
  <c r="U414" i="1"/>
  <c r="U125" i="1"/>
  <c r="U366" i="1"/>
  <c r="U68" i="1"/>
  <c r="U28" i="1"/>
  <c r="U261" i="1"/>
  <c r="U438" i="1"/>
  <c r="U163" i="1"/>
  <c r="U412" i="1"/>
  <c r="U456" i="1"/>
  <c r="U141" i="1"/>
  <c r="U338" i="1"/>
  <c r="U429" i="1"/>
  <c r="U268" i="1"/>
  <c r="U372" i="1"/>
  <c r="U408" i="1"/>
  <c r="U183" i="1"/>
  <c r="U330" i="1"/>
  <c r="U25" i="1"/>
  <c r="U291" i="1"/>
  <c r="U32" i="1"/>
  <c r="U415" i="1"/>
  <c r="U10" i="1"/>
  <c r="U495" i="1"/>
  <c r="U74" i="1"/>
  <c r="U285" i="1"/>
  <c r="U150" i="1"/>
  <c r="U370" i="1"/>
  <c r="U39" i="1"/>
  <c r="U239" i="1"/>
  <c r="U500" i="1"/>
  <c r="U290" i="1"/>
  <c r="U506" i="1"/>
  <c r="U105" i="1"/>
  <c r="U72" i="1"/>
  <c r="U20" i="1"/>
  <c r="U99" i="1"/>
  <c r="U478" i="1"/>
  <c r="U84" i="1"/>
  <c r="U386" i="1"/>
  <c r="U422" i="1"/>
  <c r="U199" i="1"/>
  <c r="U270" i="1"/>
  <c r="U208" i="1"/>
  <c r="U18" i="1"/>
  <c r="U38" i="1"/>
  <c r="U294" i="1"/>
  <c r="U111" i="1"/>
  <c r="U75" i="1"/>
  <c r="U282" i="1"/>
  <c r="U215" i="1"/>
  <c r="U169" i="1"/>
  <c r="U392" i="1"/>
  <c r="U335" i="1"/>
  <c r="U409" i="1"/>
  <c r="U399" i="1"/>
  <c r="U139" i="1"/>
  <c r="U57" i="1"/>
  <c r="U279" i="1"/>
  <c r="U234" i="1"/>
  <c r="U380" i="1"/>
  <c r="U449" i="1"/>
  <c r="U376" i="1"/>
  <c r="U325" i="1"/>
  <c r="U177" i="1"/>
  <c r="U465" i="1"/>
  <c r="U381" i="1"/>
  <c r="U360" i="1"/>
  <c r="U344" i="1"/>
  <c r="U123" i="1"/>
  <c r="U342" i="1"/>
  <c r="U217" i="1"/>
  <c r="U202" i="1"/>
  <c r="U182" i="1"/>
  <c r="U247" i="1"/>
  <c r="U368" i="1"/>
  <c r="U175" i="1"/>
  <c r="U401" i="1"/>
  <c r="U249" i="1"/>
  <c r="U358" i="1"/>
  <c r="U55" i="1"/>
  <c r="U454" i="1"/>
  <c r="U230" i="1"/>
  <c r="U308" i="1"/>
  <c r="U505" i="1"/>
  <c r="U474" i="1"/>
  <c r="U359" i="1"/>
  <c r="U133" i="1"/>
  <c r="U364" i="1"/>
  <c r="U320" i="1"/>
  <c r="U288" i="1"/>
  <c r="U101" i="1"/>
  <c r="U463" i="1"/>
  <c r="U295" i="1"/>
  <c r="U398" i="1"/>
  <c r="U494" i="1"/>
  <c r="U251" i="1"/>
  <c r="U299" i="1"/>
  <c r="U369" i="1"/>
  <c r="U411" i="1"/>
  <c r="U1" i="1" l="1"/>
  <c r="N1" i="1" s="1"/>
</calcChain>
</file>

<file path=xl/sharedStrings.xml><?xml version="1.0" encoding="utf-8"?>
<sst xmlns="http://schemas.openxmlformats.org/spreadsheetml/2006/main" count="100" uniqueCount="84">
  <si>
    <t>ニードル角度</t>
    <rPh sb="4" eb="6">
      <t>カクド</t>
    </rPh>
    <phoneticPr fontId="1"/>
  </si>
  <si>
    <t>α</t>
    <phoneticPr fontId="1"/>
  </si>
  <si>
    <t>°</t>
    <phoneticPr fontId="1"/>
  </si>
  <si>
    <t>オリフィス径</t>
    <rPh sb="5" eb="6">
      <t>ケイ</t>
    </rPh>
    <phoneticPr fontId="1"/>
  </si>
  <si>
    <t>R</t>
    <phoneticPr fontId="1"/>
  </si>
  <si>
    <t>mm</t>
    <phoneticPr fontId="1"/>
  </si>
  <si>
    <t>傾き</t>
    <rPh sb="0" eb="1">
      <t>カタム</t>
    </rPh>
    <phoneticPr fontId="1"/>
  </si>
  <si>
    <t>δ</t>
    <phoneticPr fontId="1"/>
  </si>
  <si>
    <t>h</t>
    <phoneticPr fontId="1"/>
  </si>
  <si>
    <t>高さ</t>
    <rPh sb="0" eb="1">
      <t>タカ</t>
    </rPh>
    <phoneticPr fontId="1"/>
  </si>
  <si>
    <t>座標Lのx座標</t>
    <rPh sb="0" eb="2">
      <t>ザヒョウ</t>
    </rPh>
    <rPh sb="5" eb="7">
      <t>ザヒョウ</t>
    </rPh>
    <phoneticPr fontId="1"/>
  </si>
  <si>
    <t>座標Lのy座標</t>
    <rPh sb="0" eb="2">
      <t>ザヒョウ</t>
    </rPh>
    <rPh sb="5" eb="7">
      <t>ザヒョウ</t>
    </rPh>
    <phoneticPr fontId="1"/>
  </si>
  <si>
    <t>座標Lのl</t>
    <rPh sb="0" eb="2">
      <t>ザヒョウ</t>
    </rPh>
    <phoneticPr fontId="1"/>
  </si>
  <si>
    <t>l</t>
    <phoneticPr fontId="1"/>
  </si>
  <si>
    <t>lx</t>
    <phoneticPr fontId="1"/>
  </si>
  <si>
    <t>ly</t>
    <phoneticPr fontId="1"/>
  </si>
  <si>
    <t>座標Qのx座標</t>
    <rPh sb="0" eb="2">
      <t>ザヒョウ</t>
    </rPh>
    <rPh sb="5" eb="7">
      <t>ザヒョウ</t>
    </rPh>
    <phoneticPr fontId="1"/>
  </si>
  <si>
    <t>Qx</t>
    <phoneticPr fontId="1"/>
  </si>
  <si>
    <t>sin</t>
    <phoneticPr fontId="1"/>
  </si>
  <si>
    <t>cos</t>
    <phoneticPr fontId="1"/>
  </si>
  <si>
    <t>tan(δ＋α)</t>
    <phoneticPr fontId="1"/>
  </si>
  <si>
    <t>座標Qのy座標</t>
    <rPh sb="0" eb="2">
      <t>ザヒョウ</t>
    </rPh>
    <rPh sb="5" eb="7">
      <t>ザヒョウ</t>
    </rPh>
    <phoneticPr fontId="1"/>
  </si>
  <si>
    <t>Qy</t>
    <phoneticPr fontId="1"/>
  </si>
  <si>
    <t>座標Pのx座標</t>
    <rPh sb="0" eb="2">
      <t>ザヒョウ</t>
    </rPh>
    <rPh sb="5" eb="7">
      <t>ザヒョウ</t>
    </rPh>
    <phoneticPr fontId="1"/>
  </si>
  <si>
    <t>Px</t>
    <phoneticPr fontId="1"/>
  </si>
  <si>
    <t>座標Pのy座標</t>
    <rPh sb="0" eb="2">
      <t>ザヒョウ</t>
    </rPh>
    <rPh sb="5" eb="7">
      <t>ザヒョウ</t>
    </rPh>
    <phoneticPr fontId="1"/>
  </si>
  <si>
    <t>Py</t>
    <phoneticPr fontId="1"/>
  </si>
  <si>
    <t>tan(α－δ)</t>
    <phoneticPr fontId="1"/>
  </si>
  <si>
    <t>tan(90°＋δ－α)</t>
    <phoneticPr fontId="1"/>
  </si>
  <si>
    <t>座標Tのx座標</t>
    <rPh sb="0" eb="2">
      <t>ザヒョウ</t>
    </rPh>
    <rPh sb="5" eb="7">
      <t>ザヒョウ</t>
    </rPh>
    <phoneticPr fontId="1"/>
  </si>
  <si>
    <t>Tx</t>
    <phoneticPr fontId="1"/>
  </si>
  <si>
    <t>座標Tのy座標</t>
    <rPh sb="0" eb="2">
      <t>ザヒョウ</t>
    </rPh>
    <rPh sb="5" eb="7">
      <t>ザヒョウ</t>
    </rPh>
    <phoneticPr fontId="1"/>
  </si>
  <si>
    <t>Ty</t>
    <phoneticPr fontId="1"/>
  </si>
  <si>
    <t>原点</t>
    <rPh sb="0" eb="2">
      <t>ゲンテン</t>
    </rPh>
    <phoneticPr fontId="1"/>
  </si>
  <si>
    <t>TPQの底面求める用</t>
    <rPh sb="4" eb="6">
      <t>テイメン</t>
    </rPh>
    <rPh sb="6" eb="7">
      <t>モト</t>
    </rPh>
    <rPh sb="9" eb="10">
      <t>ヨウ</t>
    </rPh>
    <phoneticPr fontId="1"/>
  </si>
  <si>
    <t>δ回転後</t>
    <rPh sb="1" eb="3">
      <t>カイテン</t>
    </rPh>
    <rPh sb="3" eb="4">
      <t>アト</t>
    </rPh>
    <phoneticPr fontId="1"/>
  </si>
  <si>
    <t>P'x</t>
    <phoneticPr fontId="1"/>
  </si>
  <si>
    <t>P'y</t>
    <phoneticPr fontId="1"/>
  </si>
  <si>
    <t>Q'x</t>
    <phoneticPr fontId="1"/>
  </si>
  <si>
    <t>Q'y</t>
    <phoneticPr fontId="1"/>
  </si>
  <si>
    <t>T'x</t>
    <phoneticPr fontId="1"/>
  </si>
  <si>
    <t>T'y</t>
    <phoneticPr fontId="1"/>
  </si>
  <si>
    <t>θ</t>
    <phoneticPr fontId="1"/>
  </si>
  <si>
    <t>(28)のθとp</t>
    <phoneticPr fontId="1"/>
  </si>
  <si>
    <t>p</t>
    <phoneticPr fontId="1"/>
  </si>
  <si>
    <t>sin</t>
    <phoneticPr fontId="1"/>
  </si>
  <si>
    <t>cos</t>
    <phoneticPr fontId="1"/>
  </si>
  <si>
    <t>TPQの長軸</t>
    <rPh sb="4" eb="6">
      <t>チョウジク</t>
    </rPh>
    <phoneticPr fontId="1"/>
  </si>
  <si>
    <t>TPQの表面積を求める用</t>
    <rPh sb="4" eb="7">
      <t>ヒョウメンセキ</t>
    </rPh>
    <rPh sb="8" eb="9">
      <t>モト</t>
    </rPh>
    <rPh sb="11" eb="12">
      <t>ヨウ</t>
    </rPh>
    <phoneticPr fontId="1"/>
  </si>
  <si>
    <t>中点分ずらす</t>
    <rPh sb="0" eb="3">
      <t>チュウテンブン</t>
    </rPh>
    <phoneticPr fontId="1"/>
  </si>
  <si>
    <t>PQの中点</t>
    <rPh sb="3" eb="5">
      <t>チュウテン</t>
    </rPh>
    <phoneticPr fontId="1"/>
  </si>
  <si>
    <t>x</t>
    <phoneticPr fontId="1"/>
  </si>
  <si>
    <t>y</t>
    <phoneticPr fontId="1"/>
  </si>
  <si>
    <t>P’’ｘ</t>
    <phoneticPr fontId="1"/>
  </si>
  <si>
    <t>P’’ｙ</t>
    <phoneticPr fontId="1"/>
  </si>
  <si>
    <t>Q''x</t>
    <phoneticPr fontId="1"/>
  </si>
  <si>
    <t>Q''y</t>
    <phoneticPr fontId="1"/>
  </si>
  <si>
    <t>T''x</t>
    <phoneticPr fontId="1"/>
  </si>
  <si>
    <t>T''y</t>
    <phoneticPr fontId="1"/>
  </si>
  <si>
    <t>θ回転させる</t>
    <rPh sb="1" eb="3">
      <t>カイテン</t>
    </rPh>
    <phoneticPr fontId="1"/>
  </si>
  <si>
    <t>P1x</t>
    <phoneticPr fontId="1"/>
  </si>
  <si>
    <t>P1y</t>
    <phoneticPr fontId="1"/>
  </si>
  <si>
    <t>Q1x</t>
    <phoneticPr fontId="1"/>
  </si>
  <si>
    <t>Q1y</t>
    <phoneticPr fontId="1"/>
  </si>
  <si>
    <t>T1x</t>
    <phoneticPr fontId="1"/>
  </si>
  <si>
    <t>T1y</t>
    <phoneticPr fontId="1"/>
  </si>
  <si>
    <t>TRSの√</t>
    <phoneticPr fontId="1"/>
  </si>
  <si>
    <t>第１項</t>
    <rPh sb="0" eb="1">
      <t>ダイ</t>
    </rPh>
    <rPh sb="2" eb="3">
      <t>コウ</t>
    </rPh>
    <phoneticPr fontId="1"/>
  </si>
  <si>
    <t>第２項</t>
    <rPh sb="0" eb="1">
      <t>ダイ</t>
    </rPh>
    <rPh sb="2" eb="3">
      <t>コウ</t>
    </rPh>
    <phoneticPr fontId="1"/>
  </si>
  <si>
    <t>第３項</t>
    <rPh sb="0" eb="1">
      <t>ダイ</t>
    </rPh>
    <rPh sb="2" eb="3">
      <t>コウ</t>
    </rPh>
    <phoneticPr fontId="1"/>
  </si>
  <si>
    <t>√</t>
    <phoneticPr fontId="1"/>
  </si>
  <si>
    <t>a</t>
    <phoneticPr fontId="1"/>
  </si>
  <si>
    <t>b</t>
    <phoneticPr fontId="1"/>
  </si>
  <si>
    <t>S</t>
    <phoneticPr fontId="1"/>
  </si>
  <si>
    <t>傾きなし</t>
    <rPh sb="0" eb="1">
      <t>カタム</t>
    </rPh>
    <phoneticPr fontId="1"/>
  </si>
  <si>
    <t>α＝１０°</t>
    <phoneticPr fontId="1"/>
  </si>
  <si>
    <t>S</t>
    <phoneticPr fontId="1"/>
  </si>
  <si>
    <t>α＝3０°</t>
    <phoneticPr fontId="1"/>
  </si>
  <si>
    <t>α＝50°</t>
    <phoneticPr fontId="1"/>
  </si>
  <si>
    <t>δ(°)</t>
    <phoneticPr fontId="1"/>
  </si>
  <si>
    <t>h=2</t>
    <phoneticPr fontId="1"/>
  </si>
  <si>
    <t>R=5</t>
    <phoneticPr fontId="1"/>
  </si>
  <si>
    <t>(式30)</t>
    <rPh sb="1" eb="2">
      <t>シキ</t>
    </rPh>
    <phoneticPr fontId="1"/>
  </si>
  <si>
    <t>(式A)</t>
    <rPh sb="1" eb="2">
      <t>シキ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</si>
</sst>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4" borderId="1" xfId="0" applyFill="1" applyBorder="1">
      <alignment vertical="center"/>
    </xf>
    <xf numFmtId="2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QL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(Sheet1!$C$11,Sheet1!$C$9)</c:f>
              <c:numCache>
                <c:formatCode>General</c:formatCode>
                <c:ptCount val="2"/>
                <c:pt idx="0">
                  <c:v>-4.0151922469877919</c:v>
                </c:pt>
                <c:pt idx="1">
                  <c:v>0</c:v>
                </c:pt>
              </c:numCache>
            </c:numRef>
          </c:xVal>
          <c:yVal>
            <c:numRef>
              <c:f>(Sheet1!$C$12,Sheet1!$C$10)</c:f>
              <c:numCache>
                <c:formatCode>General</c:formatCode>
                <c:ptCount val="2"/>
                <c:pt idx="0">
                  <c:v>1.173648177666931</c:v>
                </c:pt>
                <c:pt idx="1">
                  <c:v>-2.1954981558864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15-4AAC-8085-321145635D34}"/>
            </c:ext>
          </c:extLst>
        </c:ser>
        <c:ser>
          <c:idx val="1"/>
          <c:order val="1"/>
          <c:tx>
            <c:v>PL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"/>
            <c:dispRSqr val="0"/>
            <c:dispEq val="0"/>
          </c:trendline>
          <c:xVal>
            <c:numRef>
              <c:f>(Sheet1!$C$13,Sheet1!$C$9)</c:f>
              <c:numCache>
                <c:formatCode>General</c:formatCode>
                <c:ptCount val="2"/>
                <c:pt idx="0">
                  <c:v>4.0151922469877919</c:v>
                </c:pt>
                <c:pt idx="1">
                  <c:v>0</c:v>
                </c:pt>
              </c:numCache>
            </c:numRef>
          </c:xVal>
          <c:yVal>
            <c:numRef>
              <c:f>(Sheet1!$C$14,Sheet1!$C$10)</c:f>
              <c:numCache>
                <c:formatCode>General</c:formatCode>
                <c:ptCount val="2"/>
                <c:pt idx="0">
                  <c:v>1.173648177666931</c:v>
                </c:pt>
                <c:pt idx="1">
                  <c:v>-2.1954981558864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15-4AAC-8085-321145635D34}"/>
            </c:ext>
          </c:extLst>
        </c:ser>
        <c:ser>
          <c:idx val="2"/>
          <c:order val="2"/>
          <c:tx>
            <c:v>オリフィス縦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(Sheet1!$C$3,Sheet1!$C$3)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(Sheet1!$C$7,Sheet1!$C$10)</c:f>
              <c:numCache>
                <c:formatCode>General</c:formatCode>
                <c:ptCount val="2"/>
                <c:pt idx="0">
                  <c:v>0</c:v>
                </c:pt>
                <c:pt idx="1">
                  <c:v>-2.1954981558864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15-4AAC-8085-321145635D34}"/>
            </c:ext>
          </c:extLst>
        </c:ser>
        <c:ser>
          <c:idx val="3"/>
          <c:order val="3"/>
          <c:tx>
            <c:v>TR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(Sheet1!$C$15,Sheet1!$C$3)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(Sheet1!$C$16,Sheet1!$C$7)</c:f>
              <c:numCache>
                <c:formatCode>General</c:formatCode>
                <c:ptCount val="2"/>
                <c:pt idx="0">
                  <c:v>5.9587679629710504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15-4AAC-8085-321145635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721976"/>
        <c:axId val="669718376"/>
      </c:scatterChart>
      <c:valAx>
        <c:axId val="66972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9718376"/>
        <c:crosses val="autoZero"/>
        <c:crossBetween val="midCat"/>
        <c:majorUnit val="1"/>
      </c:valAx>
      <c:valAx>
        <c:axId val="66971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972197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ja-JP">
                <a:solidFill>
                  <a:sysClr val="windowText" lastClr="000000"/>
                </a:solidFill>
              </a:rPr>
              <a:t>R=5,h=2</a:t>
            </a:r>
            <a:r>
              <a:rPr lang="ja-JP" altLang="en-US">
                <a:solidFill>
                  <a:sysClr val="windowText" lastClr="000000"/>
                </a:solidFill>
              </a:rPr>
              <a:t>のときの開口面積</a:t>
            </a:r>
            <a:r>
              <a:rPr lang="en-US" altLang="ja-JP">
                <a:solidFill>
                  <a:sysClr val="windowText" lastClr="000000"/>
                </a:solidFill>
              </a:rPr>
              <a:t>S</a:t>
            </a:r>
            <a:endParaRPr lang="ja-JP" alt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05314960629922"/>
          <c:y val="0.14087962962962963"/>
          <c:w val="0.82505796150481192"/>
          <c:h val="0.59151210265383491"/>
        </c:manualLayout>
      </c:layout>
      <c:scatterChart>
        <c:scatterStyle val="smoothMarker"/>
        <c:varyColors val="0"/>
        <c:ser>
          <c:idx val="0"/>
          <c:order val="0"/>
          <c:tx>
            <c:v>α＝10°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Sheet1!$W$5:$W$10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Sheet1!$X$5:$X$10</c:f>
              <c:numCache>
                <c:formatCode>General</c:formatCode>
                <c:ptCount val="6"/>
                <c:pt idx="0">
                  <c:v>10.558545971702799</c:v>
                </c:pt>
                <c:pt idx="1">
                  <c:v>10.236602042050322</c:v>
                </c:pt>
                <c:pt idx="2">
                  <c:v>10.066150841288021</c:v>
                </c:pt>
                <c:pt idx="3">
                  <c:v>11.141098902150958</c:v>
                </c:pt>
                <c:pt idx="4">
                  <c:v>6.3271357337155933</c:v>
                </c:pt>
                <c:pt idx="5">
                  <c:v>3.7985077378369567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CC-4F6A-8DC7-1AD806EE289D}"/>
            </c:ext>
          </c:extLst>
        </c:ser>
        <c:ser>
          <c:idx val="1"/>
          <c:order val="1"/>
          <c:tx>
            <c:v>α＝30°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Sheet1!$W$5:$W$10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Sheet1!$Y$5:$Y$10</c:f>
              <c:numCache>
                <c:formatCode>General</c:formatCode>
                <c:ptCount val="6"/>
                <c:pt idx="0">
                  <c:v>28.752617944526314</c:v>
                </c:pt>
                <c:pt idx="1">
                  <c:v>34.340901974598033</c:v>
                </c:pt>
                <c:pt idx="2">
                  <c:v>35.035260444658626</c:v>
                </c:pt>
                <c:pt idx="3">
                  <c:v>28.537169226322447</c:v>
                </c:pt>
                <c:pt idx="4">
                  <c:v>30.798608247488069</c:v>
                </c:pt>
                <c:pt idx="5">
                  <c:v>35.954804131847652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CC-4F6A-8DC7-1AD806EE289D}"/>
            </c:ext>
          </c:extLst>
        </c:ser>
        <c:ser>
          <c:idx val="2"/>
          <c:order val="2"/>
          <c:tx>
            <c:v>α＝50°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Sheet1!$W$5:$W$10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Sheet1!$Z$5:$Z$10</c:f>
              <c:numCache>
                <c:formatCode>General</c:formatCode>
                <c:ptCount val="6"/>
                <c:pt idx="0">
                  <c:v>43.478699849793472</c:v>
                </c:pt>
                <c:pt idx="1">
                  <c:v>47.172020977375496</c:v>
                </c:pt>
                <c:pt idx="2">
                  <c:v>57.027669126738033</c:v>
                </c:pt>
                <c:pt idx="3">
                  <c:v>68.248414252784755</c:v>
                </c:pt>
                <c:pt idx="4">
                  <c:v>61.193021757611881</c:v>
                </c:pt>
                <c:pt idx="5">
                  <c:v>48.8628760123391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CC-4F6A-8DC7-1AD806EE2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073936"/>
        <c:axId val="683074296"/>
      </c:scatterChart>
      <c:valAx>
        <c:axId val="683073936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ysClr val="windowText" lastClr="000000"/>
                    </a:solidFill>
                  </a:rPr>
                  <a:t>傾き</a:t>
                </a:r>
                <a:r>
                  <a:rPr lang="en-US" altLang="ja-JP">
                    <a:solidFill>
                      <a:sysClr val="windowText" lastClr="000000"/>
                    </a:solidFill>
                  </a:rPr>
                  <a:t>δ[°]</a:t>
                </a:r>
                <a:endParaRPr lang="ja-JP" altLang="en-U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3074296"/>
        <c:crosses val="autoZero"/>
        <c:crossBetween val="midCat"/>
      </c:valAx>
      <c:valAx>
        <c:axId val="68307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ysClr val="windowText" lastClr="000000"/>
                    </a:solidFill>
                  </a:rPr>
                  <a:t>開口面積</a:t>
                </a:r>
                <a:r>
                  <a:rPr lang="en-US" altLang="ja-JP">
                    <a:solidFill>
                      <a:sysClr val="windowText" lastClr="000000"/>
                    </a:solidFill>
                  </a:rPr>
                  <a:t>S</a:t>
                </a:r>
                <a:endParaRPr lang="ja-JP" altLang="en-U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3073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368300</xdr:colOff>
      <xdr:row>2</xdr:row>
      <xdr:rowOff>158750</xdr:rowOff>
    </xdr:from>
    <xdr:to>
      <xdr:col>11</xdr:col>
      <xdr:colOff>50800</xdr:colOff>
      <xdr:row>15</xdr:row>
      <xdr:rowOff>158750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B3EC273-4CE9-409A-86E6-5F4DDB73B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31750</xdr:colOff>
      <xdr:row>2</xdr:row>
      <xdr:rowOff>19050</xdr:rowOff>
    </xdr:from>
    <xdr:to>
      <xdr:col>20</xdr:col>
      <xdr:colOff>38304</xdr:colOff>
      <xdr:row>4</xdr:row>
      <xdr:rowOff>23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998344B-7580-7507-6073-84B33468C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00" y="476250"/>
          <a:ext cx="3968954" cy="438173"/>
        </a:xfrm>
        <a:prstGeom prst="rect">
          <a:avLst/>
        </a:prstGeom>
      </xdr:spPr>
    </xdr:pic>
    <xdr:clientData/>
  </xdr:twoCellAnchor>
  <xdr:oneCellAnchor>
    <xdr:from>
      <xdr:col>15</xdr:col>
      <xdr:colOff>133350</xdr:colOff>
      <xdr:row>1</xdr:row>
      <xdr:rowOff>127000</xdr:rowOff>
    </xdr:from>
    <xdr:ext cx="1191865" cy="26456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4C179FD-78D4-4FF2-17F3-0D40E6F38EE0}"/>
            </a:ext>
          </a:extLst>
        </xdr:cNvPr>
        <xdr:cNvSpPr txBox="1"/>
      </xdr:nvSpPr>
      <xdr:spPr>
        <a:xfrm>
          <a:off x="10922000" y="355600"/>
          <a:ext cx="11918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T(p,q,h)=(0,Tx,Ty)</a:t>
          </a:r>
          <a:endParaRPr kumimoji="1" lang="ja-JP" altLang="en-US" sz="1100"/>
        </a:p>
      </xdr:txBody>
    </xdr:sp>
    <xdr:clientData/>
  </xdr:oneCellAnchor>
  <xdr:twoCellAnchor>
    <xdr:from>
      <xdr:col>14</xdr:col>
      <xdr:colOff>25400</xdr:colOff>
      <xdr:row>1</xdr:row>
      <xdr:rowOff>165100</xdr:rowOff>
    </xdr:from>
    <xdr:to>
      <xdr:col>20</xdr:col>
      <xdr:colOff>635000</xdr:colOff>
      <xdr:row>13</xdr:row>
      <xdr:rowOff>165100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42B49B93-CABC-15F9-E117-D078A5EE6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0C7F-B9A3-4F8F-BB64-ADB24DE2D079}">
  <dimension ref="A1:Z506"/>
  <sheetViews>
    <sheetView tabSelected="1" topLeftCell="J10" workbookViewId="0">
      <selection activeCell="W13" sqref="W13:Y16"/>
    </sheetView>
  </sheetViews>
  <sheetFormatPr defaultRowHeight="18" x14ac:dyDescent="0.55000000000000004"/>
  <cols>
    <col min="1" max="1" width="12.33203125" bestFit="1" customWidth="1"/>
    <col min="5" max="5" width="12.33203125" bestFit="1" customWidth="1"/>
    <col min="6" max="6" width="12.9140625" bestFit="1" customWidth="1"/>
  </cols>
  <sheetData>
    <row r="1" spans="1:26" x14ac:dyDescent="0.55000000000000004">
      <c r="E1" t="s">
        <v>18</v>
      </c>
      <c r="F1" t="s">
        <v>19</v>
      </c>
      <c r="M1" s="1" t="s">
        <v>73</v>
      </c>
      <c r="N1" s="4">
        <f>Q1-U1</f>
        <v>43.478699849793472</v>
      </c>
      <c r="Q1">
        <f>SUM(Q6:Q506)*M7/2</f>
        <v>122.43063616425663</v>
      </c>
      <c r="U1">
        <f>SUM(U6:U506)*M7/2</f>
        <v>78.951936314463154</v>
      </c>
      <c r="W1" t="s">
        <v>81</v>
      </c>
    </row>
    <row r="2" spans="1:26" x14ac:dyDescent="0.55000000000000004">
      <c r="A2" s="1" t="s">
        <v>0</v>
      </c>
      <c r="B2" s="1" t="s">
        <v>1</v>
      </c>
      <c r="C2" s="3">
        <v>50</v>
      </c>
      <c r="D2" s="1" t="s">
        <v>2</v>
      </c>
      <c r="E2">
        <f>SIN(RADIANS(C2))</f>
        <v>0.76604444311897801</v>
      </c>
      <c r="F2">
        <f>COS(RADIANS(C2))</f>
        <v>0.64278760968653936</v>
      </c>
      <c r="M2" s="1" t="s">
        <v>74</v>
      </c>
      <c r="N2" s="2">
        <f>PI()*C5*E2*(2*C3-C5*E2*F2)</f>
        <v>43.391916017756202</v>
      </c>
      <c r="W2" t="s">
        <v>80</v>
      </c>
    </row>
    <row r="3" spans="1:26" x14ac:dyDescent="0.55000000000000004">
      <c r="A3" s="1" t="s">
        <v>3</v>
      </c>
      <c r="B3" s="1" t="s">
        <v>4</v>
      </c>
      <c r="C3" s="3">
        <v>5</v>
      </c>
      <c r="D3" s="1" t="s">
        <v>5</v>
      </c>
      <c r="X3" t="s">
        <v>75</v>
      </c>
      <c r="Y3" t="s">
        <v>77</v>
      </c>
      <c r="Z3" t="s">
        <v>78</v>
      </c>
    </row>
    <row r="4" spans="1:26" x14ac:dyDescent="0.55000000000000004">
      <c r="A4" s="1" t="s">
        <v>6</v>
      </c>
      <c r="B4" s="1" t="s">
        <v>7</v>
      </c>
      <c r="C4" s="3">
        <v>0</v>
      </c>
      <c r="D4" s="1" t="s">
        <v>2</v>
      </c>
      <c r="E4">
        <f>SIN(RADIANS(C4))</f>
        <v>0</v>
      </c>
      <c r="F4">
        <f>COS(RADIANS(C4))</f>
        <v>1</v>
      </c>
      <c r="N4" t="s">
        <v>66</v>
      </c>
      <c r="W4" t="s">
        <v>79</v>
      </c>
      <c r="X4" t="s">
        <v>76</v>
      </c>
      <c r="Y4" t="s">
        <v>76</v>
      </c>
      <c r="Z4" t="s">
        <v>76</v>
      </c>
    </row>
    <row r="5" spans="1:26" x14ac:dyDescent="0.55000000000000004">
      <c r="A5" s="1" t="s">
        <v>9</v>
      </c>
      <c r="B5" s="1" t="s">
        <v>8</v>
      </c>
      <c r="C5" s="3">
        <v>2</v>
      </c>
      <c r="D5" s="1" t="s">
        <v>5</v>
      </c>
      <c r="M5" t="s">
        <v>42</v>
      </c>
      <c r="N5" t="s">
        <v>67</v>
      </c>
      <c r="O5" t="s">
        <v>68</v>
      </c>
      <c r="P5" t="s">
        <v>69</v>
      </c>
      <c r="Q5" t="s">
        <v>70</v>
      </c>
      <c r="R5" t="s">
        <v>67</v>
      </c>
      <c r="S5" t="s">
        <v>68</v>
      </c>
      <c r="T5" t="s">
        <v>69</v>
      </c>
      <c r="U5" t="s">
        <v>70</v>
      </c>
      <c r="W5">
        <v>0</v>
      </c>
      <c r="X5">
        <v>10.558545971702799</v>
      </c>
      <c r="Y5">
        <v>28.752617944526314</v>
      </c>
      <c r="Z5">
        <v>43.478699849793472</v>
      </c>
    </row>
    <row r="6" spans="1:26" x14ac:dyDescent="0.55000000000000004">
      <c r="L6">
        <v>0</v>
      </c>
      <c r="M6">
        <f>2*PI()*L6/500</f>
        <v>0</v>
      </c>
      <c r="N6">
        <f>$C$16^2*$C$3^2*COS(M6)^2</f>
        <v>887.67289091325404</v>
      </c>
      <c r="O6">
        <f>$C$16^2*$C$3^2*SIN(M6)^2</f>
        <v>0</v>
      </c>
      <c r="P6">
        <f>($C$3^2-$C$15*$C$3*SIN(M6))^2</f>
        <v>625</v>
      </c>
      <c r="Q6">
        <f>SQRT(N6+O6+P6)</f>
        <v>38.893095671510309</v>
      </c>
      <c r="R6">
        <f>$C$45^2*$C$28^2*COS(M6)^2</f>
        <v>369.14612673722405</v>
      </c>
      <c r="S6">
        <f>$C$45^2*$C$27^2*SIN(M6)^2</f>
        <v>0</v>
      </c>
      <c r="T6">
        <f>($C$27*$C$28-$C$44*$C$27*SIN(M6))^2</f>
        <v>259.91142860451657</v>
      </c>
      <c r="U6">
        <f>SQRT(R6+S6+T6)</f>
        <v>25.081019822601725</v>
      </c>
      <c r="W6">
        <v>1</v>
      </c>
      <c r="X6">
        <v>10.236602042050322</v>
      </c>
      <c r="Y6">
        <v>34.340901974598033</v>
      </c>
      <c r="Z6">
        <v>47.172020977375496</v>
      </c>
    </row>
    <row r="7" spans="1:26" x14ac:dyDescent="0.55000000000000004">
      <c r="A7" t="s">
        <v>33</v>
      </c>
      <c r="C7">
        <v>0</v>
      </c>
      <c r="L7">
        <v>1</v>
      </c>
      <c r="M7">
        <f t="shared" ref="M7:M70" si="0">2*PI()*L7/500</f>
        <v>1.2566370614359173E-2</v>
      </c>
      <c r="N7">
        <f t="shared" ref="N7:N70" si="1">$C$16^2*$C$3^2*COS(M7)^2</f>
        <v>887.53272260731683</v>
      </c>
      <c r="O7">
        <f t="shared" ref="O7:O70" si="2">$C$16^2*$C$3^2*SIN(M7)^2</f>
        <v>0.1401683059372453</v>
      </c>
      <c r="P7">
        <f>($C$3^2-$C$15*$C$3*SIN(M7))^2</f>
        <v>625</v>
      </c>
      <c r="Q7">
        <f t="shared" ref="Q7:Q70" si="3">SQRT(N7+O7+P7)</f>
        <v>38.893095671510309</v>
      </c>
      <c r="R7">
        <f t="shared" ref="R7:R70" si="4">$C$45^2*$C$28^2*COS(M7)^2</f>
        <v>369.08783658579807</v>
      </c>
      <c r="S7">
        <f t="shared" ref="S7:S70" si="5">$C$45^2*$C$27^2*SIN(M7)^2</f>
        <v>5.8290151425958982E-2</v>
      </c>
      <c r="T7">
        <f t="shared" ref="T7:T70" si="6">($C$27*$C$28-$C$44*$C$27*SIN(M7))^2</f>
        <v>259.91142860451657</v>
      </c>
      <c r="U7">
        <f t="shared" ref="U7:U70" si="7">SQRT(R7+S7+T7)</f>
        <v>25.081019822601725</v>
      </c>
      <c r="W7">
        <v>2</v>
      </c>
      <c r="X7">
        <v>10.066150841288021</v>
      </c>
      <c r="Y7">
        <v>35.035260444658626</v>
      </c>
      <c r="Z7">
        <v>57.027669126738033</v>
      </c>
    </row>
    <row r="8" spans="1:26" x14ac:dyDescent="0.55000000000000004">
      <c r="A8" t="s">
        <v>12</v>
      </c>
      <c r="B8" t="s">
        <v>13</v>
      </c>
      <c r="C8">
        <f>(C3-C5*TAN(RADIANS(C2)))/TAN(RADIANS(C2))</f>
        <v>2.1954981558864</v>
      </c>
      <c r="L8">
        <v>2</v>
      </c>
      <c r="M8">
        <f t="shared" si="0"/>
        <v>2.5132741228718346E-2</v>
      </c>
      <c r="N8">
        <f t="shared" si="1"/>
        <v>887.1123062228113</v>
      </c>
      <c r="O8">
        <f t="shared" si="2"/>
        <v>0.56058469044266801</v>
      </c>
      <c r="P8">
        <f t="shared" ref="P8:P70" si="8">($C$3^2-$C$15*$C$3*SIN(M8))^2</f>
        <v>625</v>
      </c>
      <c r="Q8">
        <f t="shared" si="3"/>
        <v>38.893095671510309</v>
      </c>
      <c r="R8">
        <f t="shared" si="4"/>
        <v>368.91300294882916</v>
      </c>
      <c r="S8">
        <f t="shared" si="5"/>
        <v>0.23312378839483922</v>
      </c>
      <c r="T8">
        <f t="shared" si="6"/>
        <v>259.91142860451657</v>
      </c>
      <c r="U8">
        <f t="shared" si="7"/>
        <v>25.081019822601721</v>
      </c>
      <c r="W8">
        <v>3</v>
      </c>
      <c r="X8">
        <v>11.141098902150958</v>
      </c>
      <c r="Y8">
        <v>28.537169226322447</v>
      </c>
      <c r="Z8">
        <v>68.248414252784755</v>
      </c>
    </row>
    <row r="9" spans="1:26" x14ac:dyDescent="0.55000000000000004">
      <c r="A9" t="s">
        <v>10</v>
      </c>
      <c r="B9" t="s">
        <v>14</v>
      </c>
      <c r="C9">
        <f>C8*SIN(RADIANS(C4))</f>
        <v>0</v>
      </c>
      <c r="L9">
        <v>3</v>
      </c>
      <c r="M9">
        <f t="shared" si="0"/>
        <v>3.7699111843077518E-2</v>
      </c>
      <c r="N9">
        <f t="shared" si="1"/>
        <v>886.41190730373717</v>
      </c>
      <c r="O9">
        <f t="shared" si="2"/>
        <v>1.2609836095168618</v>
      </c>
      <c r="P9">
        <f t="shared" si="8"/>
        <v>625</v>
      </c>
      <c r="Q9">
        <f t="shared" si="3"/>
        <v>38.893095671510309</v>
      </c>
      <c r="R9">
        <f t="shared" si="4"/>
        <v>368.6217362549898</v>
      </c>
      <c r="S9">
        <f t="shared" si="5"/>
        <v>0.52439048223425189</v>
      </c>
      <c r="T9">
        <f t="shared" si="6"/>
        <v>259.91142860451657</v>
      </c>
      <c r="U9">
        <f t="shared" si="7"/>
        <v>25.081019822601725</v>
      </c>
      <c r="W9">
        <v>4</v>
      </c>
      <c r="X9">
        <v>6.3271357337155933</v>
      </c>
      <c r="Y9">
        <v>30.798608247488069</v>
      </c>
      <c r="Z9">
        <v>61.193021757611881</v>
      </c>
    </row>
    <row r="10" spans="1:26" x14ac:dyDescent="0.55000000000000004">
      <c r="A10" t="s">
        <v>11</v>
      </c>
      <c r="B10" t="s">
        <v>15</v>
      </c>
      <c r="C10">
        <f>-C8*COS(RADIANS(C4))</f>
        <v>-2.1954981558864</v>
      </c>
      <c r="E10" t="s">
        <v>20</v>
      </c>
      <c r="L10">
        <v>4</v>
      </c>
      <c r="M10">
        <f t="shared" si="0"/>
        <v>5.0265482457436693E-2</v>
      </c>
      <c r="N10">
        <f t="shared" si="1"/>
        <v>885.43196823706342</v>
      </c>
      <c r="O10">
        <f t="shared" si="2"/>
        <v>2.2409226761906087</v>
      </c>
      <c r="P10">
        <f t="shared" si="8"/>
        <v>625</v>
      </c>
      <c r="Q10">
        <f t="shared" si="3"/>
        <v>38.893095671510309</v>
      </c>
      <c r="R10">
        <f t="shared" si="4"/>
        <v>368.2142204745665</v>
      </c>
      <c r="S10">
        <f t="shared" si="5"/>
        <v>0.93190626265753218</v>
      </c>
      <c r="T10">
        <f t="shared" si="6"/>
        <v>259.91142860451657</v>
      </c>
      <c r="U10">
        <f t="shared" si="7"/>
        <v>25.081019822601725</v>
      </c>
      <c r="W10">
        <v>5</v>
      </c>
      <c r="X10">
        <v>3.7985077378369567</v>
      </c>
      <c r="Y10">
        <v>35.954804131847652</v>
      </c>
      <c r="Z10">
        <v>48.8628760123391</v>
      </c>
    </row>
    <row r="11" spans="1:26" x14ac:dyDescent="0.55000000000000004">
      <c r="A11" t="s">
        <v>16</v>
      </c>
      <c r="B11" t="s">
        <v>17</v>
      </c>
      <c r="C11">
        <f>(-C8*TAN(RADIANS(90-C4-C2))*E4+C8*F4+C3*E11)/(-TAN(RADIANS(90-C2-C4))-E11)</f>
        <v>-4.0151922469877919</v>
      </c>
      <c r="E11">
        <f>TAN(RADIANS(C4+C2))</f>
        <v>1.19175359259421</v>
      </c>
      <c r="L11">
        <v>5</v>
      </c>
      <c r="M11">
        <f t="shared" si="0"/>
        <v>6.2831853071795868E-2</v>
      </c>
      <c r="N11">
        <f t="shared" si="1"/>
        <v>884.17310797330799</v>
      </c>
      <c r="O11">
        <f t="shared" si="2"/>
        <v>3.4997829399459728</v>
      </c>
      <c r="P11">
        <f t="shared" si="8"/>
        <v>625</v>
      </c>
      <c r="Q11">
        <f t="shared" si="3"/>
        <v>38.893095671510309</v>
      </c>
      <c r="R11">
        <f t="shared" si="4"/>
        <v>367.69071300326073</v>
      </c>
      <c r="S11">
        <f t="shared" si="5"/>
        <v>1.4554137339633164</v>
      </c>
      <c r="T11">
        <f t="shared" si="6"/>
        <v>259.91142860451657</v>
      </c>
      <c r="U11">
        <f t="shared" si="7"/>
        <v>25.081019822601725</v>
      </c>
    </row>
    <row r="12" spans="1:26" x14ac:dyDescent="0.55000000000000004">
      <c r="A12" t="s">
        <v>21</v>
      </c>
      <c r="B12" t="s">
        <v>22</v>
      </c>
      <c r="C12">
        <f>E11*C11+C3*E11</f>
        <v>1.173648177666931</v>
      </c>
      <c r="E12" t="s">
        <v>27</v>
      </c>
      <c r="F12" t="s">
        <v>28</v>
      </c>
      <c r="L12">
        <v>6</v>
      </c>
      <c r="M12">
        <f t="shared" si="0"/>
        <v>7.5398223686155036E-2</v>
      </c>
      <c r="N12">
        <f t="shared" si="1"/>
        <v>882.63612163559526</v>
      </c>
      <c r="O12">
        <f t="shared" si="2"/>
        <v>5.0367692776587099</v>
      </c>
      <c r="P12">
        <f t="shared" si="8"/>
        <v>625</v>
      </c>
      <c r="Q12">
        <f t="shared" si="3"/>
        <v>38.893095671510309</v>
      </c>
      <c r="R12">
        <f t="shared" si="4"/>
        <v>367.05154449961185</v>
      </c>
      <c r="S12">
        <f t="shared" si="5"/>
        <v>2.0945822376121828</v>
      </c>
      <c r="T12">
        <f t="shared" si="6"/>
        <v>259.91142860451657</v>
      </c>
      <c r="U12">
        <f t="shared" si="7"/>
        <v>25.081019822601725</v>
      </c>
      <c r="W12" t="s">
        <v>79</v>
      </c>
    </row>
    <row r="13" spans="1:26" x14ac:dyDescent="0.55000000000000004">
      <c r="A13" t="s">
        <v>23</v>
      </c>
      <c r="B13" t="s">
        <v>24</v>
      </c>
      <c r="C13">
        <f>(C8*F4+C8*F13*E4+E13*C3)/(F13+E13)</f>
        <v>4.0151922469877919</v>
      </c>
      <c r="E13">
        <f>TAN(RADIANS(C2-C4))</f>
        <v>1.19175359259421</v>
      </c>
      <c r="F13">
        <f>TAN(RADIANS(90+C4-C2))</f>
        <v>0.83909963117727993</v>
      </c>
      <c r="L13">
        <v>7</v>
      </c>
      <c r="M13">
        <f t="shared" si="0"/>
        <v>8.7964594300514204E-2</v>
      </c>
      <c r="N13">
        <f t="shared" si="1"/>
        <v>880.82198001743893</v>
      </c>
      <c r="O13">
        <f t="shared" si="2"/>
        <v>6.8509108958150753</v>
      </c>
      <c r="P13">
        <f t="shared" si="8"/>
        <v>625</v>
      </c>
      <c r="Q13">
        <f t="shared" si="3"/>
        <v>38.893095671510309</v>
      </c>
      <c r="R13">
        <f t="shared" si="4"/>
        <v>366.2971186761464</v>
      </c>
      <c r="S13">
        <f t="shared" si="5"/>
        <v>2.8490080610776713</v>
      </c>
      <c r="T13">
        <f t="shared" si="6"/>
        <v>259.91142860451657</v>
      </c>
      <c r="U13">
        <f t="shared" si="7"/>
        <v>25.081019822601725</v>
      </c>
      <c r="W13" s="5"/>
      <c r="X13" s="5" t="s">
        <v>82</v>
      </c>
      <c r="Y13" s="5" t="s">
        <v>83</v>
      </c>
    </row>
    <row r="14" spans="1:26" x14ac:dyDescent="0.55000000000000004">
      <c r="A14" t="s">
        <v>25</v>
      </c>
      <c r="B14" t="s">
        <v>26</v>
      </c>
      <c r="C14">
        <f>-1*E13*C13+C3*E13</f>
        <v>1.173648177666931</v>
      </c>
      <c r="L14">
        <v>8</v>
      </c>
      <c r="M14">
        <f t="shared" si="0"/>
        <v>0.10053096491487339</v>
      </c>
      <c r="N14">
        <f t="shared" si="1"/>
        <v>878.73182896956826</v>
      </c>
      <c r="O14">
        <f t="shared" si="2"/>
        <v>8.9410619436858259</v>
      </c>
      <c r="P14">
        <f t="shared" si="8"/>
        <v>625</v>
      </c>
      <c r="Q14">
        <f t="shared" si="3"/>
        <v>38.893095671510309</v>
      </c>
      <c r="R14">
        <f t="shared" si="4"/>
        <v>365.4279120443843</v>
      </c>
      <c r="S14">
        <f t="shared" si="5"/>
        <v>3.7182146928397732</v>
      </c>
      <c r="T14">
        <f t="shared" si="6"/>
        <v>259.91142860451657</v>
      </c>
      <c r="U14">
        <f t="shared" si="7"/>
        <v>25.081019822601725</v>
      </c>
      <c r="W14" s="5" t="s">
        <v>75</v>
      </c>
      <c r="X14" s="6">
        <v>10.558545971702799</v>
      </c>
      <c r="Y14" s="6">
        <v>10.537471029643573</v>
      </c>
    </row>
    <row r="15" spans="1:26" x14ac:dyDescent="0.55000000000000004">
      <c r="A15" t="s">
        <v>29</v>
      </c>
      <c r="B15" t="s">
        <v>30</v>
      </c>
      <c r="C15">
        <f>(E13-E11)/(E13+E11)*C3</f>
        <v>0</v>
      </c>
      <c r="L15">
        <v>9</v>
      </c>
      <c r="M15">
        <f t="shared" si="0"/>
        <v>0.11309733552923255</v>
      </c>
      <c r="N15">
        <f t="shared" si="1"/>
        <v>876.36698867618395</v>
      </c>
      <c r="O15">
        <f t="shared" si="2"/>
        <v>11.305902237070072</v>
      </c>
      <c r="P15">
        <f t="shared" si="8"/>
        <v>625</v>
      </c>
      <c r="Q15">
        <f t="shared" si="3"/>
        <v>38.893095671510309</v>
      </c>
      <c r="R15">
        <f t="shared" si="4"/>
        <v>364.4444736138642</v>
      </c>
      <c r="S15">
        <f t="shared" si="5"/>
        <v>4.7016531233598116</v>
      </c>
      <c r="T15">
        <f t="shared" si="6"/>
        <v>259.91142860451657</v>
      </c>
      <c r="U15">
        <f t="shared" si="7"/>
        <v>25.081019822601721</v>
      </c>
      <c r="W15" s="5" t="s">
        <v>77</v>
      </c>
      <c r="X15" s="6">
        <v>28.752617944526314</v>
      </c>
      <c r="Y15" s="6">
        <v>28.6952274895466</v>
      </c>
    </row>
    <row r="16" spans="1:26" x14ac:dyDescent="0.55000000000000004">
      <c r="A16" t="s">
        <v>31</v>
      </c>
      <c r="B16" t="s">
        <v>32</v>
      </c>
      <c r="C16">
        <f>E11*C15+E11*C3</f>
        <v>5.9587679629710504</v>
      </c>
      <c r="L16">
        <v>10</v>
      </c>
      <c r="M16">
        <f t="shared" si="0"/>
        <v>0.12566370614359174</v>
      </c>
      <c r="N16">
        <f t="shared" si="1"/>
        <v>873.72895282110221</v>
      </c>
      <c r="O16">
        <f t="shared" si="2"/>
        <v>13.943938092151958</v>
      </c>
      <c r="P16">
        <f t="shared" si="8"/>
        <v>625</v>
      </c>
      <c r="Q16">
        <f t="shared" si="3"/>
        <v>38.893095671510309</v>
      </c>
      <c r="R16">
        <f t="shared" si="4"/>
        <v>363.34742454537746</v>
      </c>
      <c r="S16">
        <f t="shared" si="5"/>
        <v>5.7987021918466439</v>
      </c>
      <c r="T16">
        <f t="shared" si="6"/>
        <v>259.91142860451657</v>
      </c>
      <c r="U16">
        <f t="shared" si="7"/>
        <v>25.081019822601725</v>
      </c>
      <c r="W16" s="5" t="s">
        <v>78</v>
      </c>
      <c r="X16" s="6">
        <v>43.478699849793472</v>
      </c>
      <c r="Y16" s="6">
        <v>43.391916017756202</v>
      </c>
    </row>
    <row r="17" spans="1:21" x14ac:dyDescent="0.55000000000000004">
      <c r="L17">
        <v>11</v>
      </c>
      <c r="M17">
        <f t="shared" si="0"/>
        <v>0.13823007675795088</v>
      </c>
      <c r="N17">
        <f t="shared" si="1"/>
        <v>870.81938764431072</v>
      </c>
      <c r="O17">
        <f t="shared" si="2"/>
        <v>16.853503268943317</v>
      </c>
      <c r="P17">
        <f t="shared" si="8"/>
        <v>625</v>
      </c>
      <c r="Q17">
        <f t="shared" si="3"/>
        <v>38.893095671510309</v>
      </c>
      <c r="R17">
        <f t="shared" si="4"/>
        <v>362.1374577586289</v>
      </c>
      <c r="S17">
        <f t="shared" si="5"/>
        <v>7.0086689785951153</v>
      </c>
      <c r="T17">
        <f t="shared" si="6"/>
        <v>259.91142860451657</v>
      </c>
      <c r="U17">
        <f t="shared" si="7"/>
        <v>25.081019822601721</v>
      </c>
    </row>
    <row r="18" spans="1:21" x14ac:dyDescent="0.55000000000000004">
      <c r="A18" t="s">
        <v>34</v>
      </c>
      <c r="L18">
        <v>12</v>
      </c>
      <c r="M18">
        <f t="shared" si="0"/>
        <v>0.15079644737231007</v>
      </c>
      <c r="N18">
        <f t="shared" si="1"/>
        <v>867.64013088953743</v>
      </c>
      <c r="O18">
        <f t="shared" si="2"/>
        <v>20.032760023716634</v>
      </c>
      <c r="P18">
        <f t="shared" si="8"/>
        <v>625</v>
      </c>
      <c r="Q18">
        <f t="shared" si="3"/>
        <v>38.893095671510309</v>
      </c>
      <c r="R18">
        <f t="shared" si="4"/>
        <v>360.81533749457503</v>
      </c>
      <c r="S18">
        <f t="shared" si="5"/>
        <v>8.3307892426490238</v>
      </c>
      <c r="T18">
        <f t="shared" si="6"/>
        <v>259.91142860451657</v>
      </c>
      <c r="U18">
        <f t="shared" si="7"/>
        <v>25.081019822601725</v>
      </c>
    </row>
    <row r="19" spans="1:21" x14ac:dyDescent="0.55000000000000004">
      <c r="A19" t="s">
        <v>35</v>
      </c>
      <c r="B19" t="s">
        <v>36</v>
      </c>
      <c r="C19">
        <f>F4*C13+E4*C14</f>
        <v>4.0151922469877919</v>
      </c>
      <c r="L19">
        <v>13</v>
      </c>
      <c r="M19">
        <f t="shared" si="0"/>
        <v>0.16336281798666927</v>
      </c>
      <c r="N19">
        <f t="shared" si="1"/>
        <v>864.19319064349065</v>
      </c>
      <c r="O19">
        <f t="shared" si="2"/>
        <v>23.479700269763299</v>
      </c>
      <c r="P19">
        <f t="shared" si="8"/>
        <v>625</v>
      </c>
      <c r="Q19">
        <f t="shared" si="3"/>
        <v>38.893095671510309</v>
      </c>
      <c r="R19">
        <f t="shared" si="4"/>
        <v>359.38189883271195</v>
      </c>
      <c r="S19">
        <f t="shared" si="5"/>
        <v>9.7642279045120492</v>
      </c>
      <c r="T19">
        <f t="shared" si="6"/>
        <v>259.91142860451657</v>
      </c>
      <c r="U19">
        <f t="shared" si="7"/>
        <v>25.081019822601721</v>
      </c>
    </row>
    <row r="20" spans="1:21" x14ac:dyDescent="0.55000000000000004">
      <c r="B20" t="s">
        <v>37</v>
      </c>
      <c r="C20">
        <f>-1*E4*C13+F4*C14+C8</f>
        <v>3.3691463335533309</v>
      </c>
      <c r="L20">
        <v>14</v>
      </c>
      <c r="M20">
        <f t="shared" si="0"/>
        <v>0.17592918860102841</v>
      </c>
      <c r="N20">
        <f t="shared" si="1"/>
        <v>860.4807440675097</v>
      </c>
      <c r="O20">
        <f t="shared" si="2"/>
        <v>27.192146845744258</v>
      </c>
      <c r="P20">
        <f t="shared" si="8"/>
        <v>625</v>
      </c>
      <c r="Q20">
        <f t="shared" si="3"/>
        <v>38.893095671510309</v>
      </c>
      <c r="R20">
        <f t="shared" si="4"/>
        <v>357.83804716362215</v>
      </c>
      <c r="S20">
        <f t="shared" si="5"/>
        <v>11.308079573601901</v>
      </c>
      <c r="T20">
        <f t="shared" si="6"/>
        <v>259.91142860451657</v>
      </c>
      <c r="U20">
        <f t="shared" si="7"/>
        <v>25.081019822601725</v>
      </c>
    </row>
    <row r="21" spans="1:21" x14ac:dyDescent="0.55000000000000004">
      <c r="B21" t="s">
        <v>38</v>
      </c>
      <c r="C21">
        <f>F4*C11+E4*C12</f>
        <v>-4.0151922469877919</v>
      </c>
      <c r="L21">
        <v>15</v>
      </c>
      <c r="M21">
        <f t="shared" si="0"/>
        <v>0.18849555921538758</v>
      </c>
      <c r="N21">
        <f t="shared" si="1"/>
        <v>856.50513602242233</v>
      </c>
      <c r="O21">
        <f t="shared" si="2"/>
        <v>31.167754890831773</v>
      </c>
      <c r="P21">
        <f t="shared" si="8"/>
        <v>625</v>
      </c>
      <c r="Q21">
        <f t="shared" si="3"/>
        <v>38.893095671510309</v>
      </c>
      <c r="R21">
        <f t="shared" si="4"/>
        <v>356.18475761710971</v>
      </c>
      <c r="S21">
        <f t="shared" si="5"/>
        <v>12.961369120114389</v>
      </c>
      <c r="T21">
        <f t="shared" si="6"/>
        <v>259.91142860451657</v>
      </c>
      <c r="U21">
        <f t="shared" si="7"/>
        <v>25.081019822601725</v>
      </c>
    </row>
    <row r="22" spans="1:21" x14ac:dyDescent="0.55000000000000004">
      <c r="B22" t="s">
        <v>39</v>
      </c>
      <c r="C22">
        <f>-1*E4*C11+F4*C12+C8</f>
        <v>3.3691463335533309</v>
      </c>
      <c r="L22">
        <v>16</v>
      </c>
      <c r="M22">
        <f t="shared" si="0"/>
        <v>0.20106192982974677</v>
      </c>
      <c r="N22">
        <f t="shared" si="1"/>
        <v>852.26887758748023</v>
      </c>
      <c r="O22">
        <f t="shared" si="2"/>
        <v>35.404013325773796</v>
      </c>
      <c r="P22">
        <f t="shared" si="8"/>
        <v>625</v>
      </c>
      <c r="Q22">
        <f t="shared" si="3"/>
        <v>38.893095671510309</v>
      </c>
      <c r="R22">
        <f t="shared" si="4"/>
        <v>354.42307444628773</v>
      </c>
      <c r="S22">
        <f t="shared" si="5"/>
        <v>14.723052290936332</v>
      </c>
      <c r="T22">
        <f t="shared" si="6"/>
        <v>259.91142860451657</v>
      </c>
      <c r="U22">
        <f t="shared" si="7"/>
        <v>25.081019822601725</v>
      </c>
    </row>
    <row r="23" spans="1:21" x14ac:dyDescent="0.55000000000000004">
      <c r="B23" t="s">
        <v>40</v>
      </c>
      <c r="C23">
        <f>F4*C15+E4*C16</f>
        <v>0</v>
      </c>
      <c r="L23">
        <v>17</v>
      </c>
      <c r="M23">
        <f t="shared" si="0"/>
        <v>0.21362830044410594</v>
      </c>
      <c r="N23">
        <f t="shared" si="1"/>
        <v>847.77464447430873</v>
      </c>
      <c r="O23">
        <f t="shared" si="2"/>
        <v>39.898246438945336</v>
      </c>
      <c r="P23">
        <f t="shared" si="8"/>
        <v>625</v>
      </c>
      <c r="Q23">
        <f t="shared" si="3"/>
        <v>38.893095671510309</v>
      </c>
      <c r="R23">
        <f t="shared" si="4"/>
        <v>352.55411036800587</v>
      </c>
      <c r="S23">
        <f t="shared" si="5"/>
        <v>16.592016369218157</v>
      </c>
      <c r="T23">
        <f t="shared" si="6"/>
        <v>259.91142860451657</v>
      </c>
      <c r="U23">
        <f t="shared" si="7"/>
        <v>25.081019822601721</v>
      </c>
    </row>
    <row r="24" spans="1:21" x14ac:dyDescent="0.55000000000000004">
      <c r="B24" t="s">
        <v>41</v>
      </c>
      <c r="C24">
        <f>-1*E4*C15+F4*C16+C8</f>
        <v>8.1542661188574499</v>
      </c>
      <c r="E24" t="s">
        <v>45</v>
      </c>
      <c r="F24" t="s">
        <v>46</v>
      </c>
      <c r="L24">
        <v>18</v>
      </c>
      <c r="M24">
        <f t="shared" si="0"/>
        <v>0.22619467105846511</v>
      </c>
      <c r="N24">
        <f t="shared" si="1"/>
        <v>843.0252753368685</v>
      </c>
      <c r="O24">
        <f t="shared" si="2"/>
        <v>44.647615576385469</v>
      </c>
      <c r="P24">
        <f t="shared" si="8"/>
        <v>625</v>
      </c>
      <c r="Q24">
        <f t="shared" si="3"/>
        <v>38.893095671510309</v>
      </c>
      <c r="R24">
        <f t="shared" si="4"/>
        <v>350.57904586003423</v>
      </c>
      <c r="S24">
        <f t="shared" si="5"/>
        <v>18.567080877189781</v>
      </c>
      <c r="T24">
        <f t="shared" si="6"/>
        <v>259.91142860451657</v>
      </c>
      <c r="U24">
        <f t="shared" si="7"/>
        <v>25.081019822601721</v>
      </c>
    </row>
    <row r="25" spans="1:21" x14ac:dyDescent="0.55000000000000004">
      <c r="A25" t="s">
        <v>43</v>
      </c>
      <c r="B25" t="s">
        <v>42</v>
      </c>
      <c r="C25">
        <f>90+DEGREES(ATAN((C20-C22)/(C19-C21)))</f>
        <v>90</v>
      </c>
      <c r="E25">
        <f>SIN(RADIANS(C25))</f>
        <v>1</v>
      </c>
      <c r="F25">
        <f>COS(RADIANS(C25))</f>
        <v>6.1257422745431001E-17</v>
      </c>
      <c r="L25">
        <v>19</v>
      </c>
      <c r="M25">
        <f t="shared" si="0"/>
        <v>0.23876104167282428</v>
      </c>
      <c r="N25">
        <f t="shared" si="1"/>
        <v>838.02376997850217</v>
      </c>
      <c r="O25">
        <f t="shared" si="2"/>
        <v>49.649120934751849</v>
      </c>
      <c r="P25">
        <f t="shared" si="8"/>
        <v>625</v>
      </c>
      <c r="Q25">
        <f t="shared" si="3"/>
        <v>38.893095671510309</v>
      </c>
      <c r="R25">
        <f t="shared" si="4"/>
        <v>348.49912841544847</v>
      </c>
      <c r="S25">
        <f t="shared" si="5"/>
        <v>20.646998321775619</v>
      </c>
      <c r="T25">
        <f t="shared" si="6"/>
        <v>259.91142860451657</v>
      </c>
      <c r="U25">
        <f t="shared" si="7"/>
        <v>25.081019822601725</v>
      </c>
    </row>
    <row r="26" spans="1:21" x14ac:dyDescent="0.55000000000000004">
      <c r="B26" t="s">
        <v>44</v>
      </c>
      <c r="C26">
        <f>(-(C20-C22)/(C19-C21)*C19+C20)</f>
        <v>3.3691463335533309</v>
      </c>
      <c r="L26">
        <v>20</v>
      </c>
      <c r="M26">
        <f t="shared" si="0"/>
        <v>0.25132741228718347</v>
      </c>
      <c r="N26">
        <f t="shared" si="1"/>
        <v>832.77328745719308</v>
      </c>
      <c r="O26">
        <f t="shared" si="2"/>
        <v>54.899603456060852</v>
      </c>
      <c r="P26">
        <f t="shared" si="8"/>
        <v>625</v>
      </c>
      <c r="Q26">
        <f t="shared" si="3"/>
        <v>38.893095671510309</v>
      </c>
      <c r="R26">
        <f t="shared" si="4"/>
        <v>346.31567175468604</v>
      </c>
      <c r="S26">
        <f t="shared" si="5"/>
        <v>22.830454982537969</v>
      </c>
      <c r="T26">
        <f t="shared" si="6"/>
        <v>259.91142860451657</v>
      </c>
      <c r="U26">
        <f t="shared" si="7"/>
        <v>25.081019822601721</v>
      </c>
    </row>
    <row r="27" spans="1:21" x14ac:dyDescent="0.55000000000000004">
      <c r="A27" t="s">
        <v>47</v>
      </c>
      <c r="B27" t="s">
        <v>71</v>
      </c>
      <c r="C27">
        <f>C26*E2/SQRT(E25^2-E2^2)</f>
        <v>4.0151922469877919</v>
      </c>
      <c r="L27">
        <v>21</v>
      </c>
      <c r="M27">
        <f t="shared" si="0"/>
        <v>0.26389378290154264</v>
      </c>
      <c r="N27">
        <f t="shared" si="1"/>
        <v>827.2771440902377</v>
      </c>
      <c r="O27">
        <f t="shared" si="2"/>
        <v>60.395746823016346</v>
      </c>
      <c r="P27">
        <f t="shared" si="8"/>
        <v>625</v>
      </c>
      <c r="Q27">
        <f t="shared" si="3"/>
        <v>38.893095671510309</v>
      </c>
      <c r="R27">
        <f t="shared" si="4"/>
        <v>344.03005499577307</v>
      </c>
      <c r="S27">
        <f t="shared" si="5"/>
        <v>25.116071741450991</v>
      </c>
      <c r="T27">
        <f t="shared" si="6"/>
        <v>259.91142860451657</v>
      </c>
      <c r="U27">
        <f t="shared" si="7"/>
        <v>25.081019822601725</v>
      </c>
    </row>
    <row r="28" spans="1:21" x14ac:dyDescent="0.55000000000000004">
      <c r="B28" t="s">
        <v>72</v>
      </c>
      <c r="C28">
        <f>C26*E2*F2/(E25^2-E2^2)</f>
        <v>4.0151922469877919</v>
      </c>
      <c r="L28">
        <v>22</v>
      </c>
      <c r="M28">
        <f t="shared" si="0"/>
        <v>0.27646015351590175</v>
      </c>
      <c r="N28">
        <f t="shared" si="1"/>
        <v>821.53881135958738</v>
      </c>
      <c r="O28">
        <f t="shared" si="2"/>
        <v>66.134079553666666</v>
      </c>
      <c r="P28">
        <f t="shared" si="8"/>
        <v>625</v>
      </c>
      <c r="Q28">
        <f t="shared" si="3"/>
        <v>38.893095671510309</v>
      </c>
      <c r="R28">
        <f t="shared" si="4"/>
        <v>341.64372178324288</v>
      </c>
      <c r="S28">
        <f t="shared" si="5"/>
        <v>27.502404953981202</v>
      </c>
      <c r="T28">
        <f t="shared" si="6"/>
        <v>259.91142860451657</v>
      </c>
      <c r="U28">
        <f t="shared" si="7"/>
        <v>25.081019822601725</v>
      </c>
    </row>
    <row r="29" spans="1:21" x14ac:dyDescent="0.55000000000000004">
      <c r="L29">
        <v>23</v>
      </c>
      <c r="M29">
        <f t="shared" si="0"/>
        <v>0.28902652413026098</v>
      </c>
      <c r="N29">
        <f t="shared" si="1"/>
        <v>815.56191371918669</v>
      </c>
      <c r="O29">
        <f t="shared" si="2"/>
        <v>72.110977194067246</v>
      </c>
      <c r="P29">
        <f t="shared" si="8"/>
        <v>625</v>
      </c>
      <c r="Q29">
        <f t="shared" si="3"/>
        <v>38.893095671510309</v>
      </c>
      <c r="R29">
        <f t="shared" si="4"/>
        <v>339.15817937629964</v>
      </c>
      <c r="S29">
        <f t="shared" si="5"/>
        <v>29.98794736092437</v>
      </c>
      <c r="T29">
        <f t="shared" si="6"/>
        <v>259.91142860451657</v>
      </c>
      <c r="U29">
        <f t="shared" si="7"/>
        <v>25.081019822601721</v>
      </c>
    </row>
    <row r="30" spans="1:21" x14ac:dyDescent="0.55000000000000004">
      <c r="A30" t="s">
        <v>48</v>
      </c>
      <c r="L30">
        <v>24</v>
      </c>
      <c r="M30">
        <f t="shared" si="0"/>
        <v>0.30159289474462014</v>
      </c>
      <c r="N30">
        <f t="shared" si="1"/>
        <v>809.35022630569085</v>
      </c>
      <c r="O30">
        <f t="shared" si="2"/>
        <v>78.322664607563127</v>
      </c>
      <c r="P30">
        <f t="shared" si="8"/>
        <v>625</v>
      </c>
      <c r="Q30">
        <f t="shared" si="3"/>
        <v>38.893095671510309</v>
      </c>
      <c r="R30">
        <f t="shared" si="4"/>
        <v>336.5749976968014</v>
      </c>
      <c r="S30">
        <f t="shared" si="5"/>
        <v>32.571129040422619</v>
      </c>
      <c r="T30">
        <f t="shared" si="6"/>
        <v>259.91142860451657</v>
      </c>
      <c r="U30">
        <f t="shared" si="7"/>
        <v>25.081019822601721</v>
      </c>
    </row>
    <row r="31" spans="1:21" x14ac:dyDescent="0.55000000000000004">
      <c r="A31" t="s">
        <v>50</v>
      </c>
      <c r="B31" t="s">
        <v>51</v>
      </c>
      <c r="C31">
        <f>(C13+C11)/2</f>
        <v>0</v>
      </c>
      <c r="L31">
        <v>25</v>
      </c>
      <c r="M31">
        <f t="shared" si="0"/>
        <v>0.31415926535897931</v>
      </c>
      <c r="N31">
        <f t="shared" si="1"/>
        <v>802.9076725540076</v>
      </c>
      <c r="O31">
        <f t="shared" si="2"/>
        <v>84.765218359246333</v>
      </c>
      <c r="P31">
        <f t="shared" si="8"/>
        <v>625</v>
      </c>
      <c r="Q31">
        <f t="shared" si="3"/>
        <v>38.893095671510309</v>
      </c>
      <c r="R31">
        <f t="shared" si="4"/>
        <v>333.8958083376632</v>
      </c>
      <c r="S31">
        <f t="shared" si="5"/>
        <v>35.250318399560811</v>
      </c>
      <c r="T31">
        <f t="shared" si="6"/>
        <v>259.91142860451657</v>
      </c>
      <c r="U31">
        <f t="shared" si="7"/>
        <v>25.081019822601721</v>
      </c>
    </row>
    <row r="32" spans="1:21" x14ac:dyDescent="0.55000000000000004">
      <c r="B32" t="s">
        <v>52</v>
      </c>
      <c r="C32">
        <f>(C14+C12)/2</f>
        <v>1.173648177666931</v>
      </c>
      <c r="L32">
        <v>26</v>
      </c>
      <c r="M32">
        <f t="shared" si="0"/>
        <v>0.32672563597333854</v>
      </c>
      <c r="N32">
        <f t="shared" si="1"/>
        <v>796.2383217191724</v>
      </c>
      <c r="O32">
        <f t="shared" si="2"/>
        <v>91.434569194081533</v>
      </c>
      <c r="P32">
        <f t="shared" si="8"/>
        <v>625</v>
      </c>
      <c r="Q32">
        <f t="shared" si="3"/>
        <v>38.893095671510309</v>
      </c>
      <c r="R32">
        <f t="shared" si="4"/>
        <v>331.12230353230842</v>
      </c>
      <c r="S32">
        <f t="shared" si="5"/>
        <v>38.023823204915601</v>
      </c>
      <c r="T32">
        <f t="shared" si="6"/>
        <v>259.91142860451657</v>
      </c>
      <c r="U32">
        <f t="shared" si="7"/>
        <v>25.081019822601721</v>
      </c>
    </row>
    <row r="33" spans="1:21" x14ac:dyDescent="0.55000000000000004">
      <c r="A33" t="s">
        <v>49</v>
      </c>
      <c r="B33" t="s">
        <v>53</v>
      </c>
      <c r="C33">
        <f>C13-C31</f>
        <v>4.0151922469877919</v>
      </c>
      <c r="L33">
        <v>27</v>
      </c>
      <c r="M33">
        <f t="shared" si="0"/>
        <v>0.33929200658769765</v>
      </c>
      <c r="N33">
        <f t="shared" si="1"/>
        <v>789.3463863061196</v>
      </c>
      <c r="O33">
        <f t="shared" si="2"/>
        <v>98.326504607134481</v>
      </c>
      <c r="P33">
        <f t="shared" si="8"/>
        <v>625</v>
      </c>
      <c r="Q33">
        <f t="shared" si="3"/>
        <v>38.893095671510309</v>
      </c>
      <c r="R33">
        <f t="shared" si="4"/>
        <v>328.25623508581782</v>
      </c>
      <c r="S33">
        <f t="shared" si="5"/>
        <v>40.889891651406245</v>
      </c>
      <c r="T33">
        <f t="shared" si="6"/>
        <v>259.91142860451657</v>
      </c>
      <c r="U33">
        <f t="shared" si="7"/>
        <v>25.081019822601725</v>
      </c>
    </row>
    <row r="34" spans="1:21" x14ac:dyDescent="0.55000000000000004">
      <c r="B34" t="s">
        <v>54</v>
      </c>
      <c r="C34">
        <f>C14-C32</f>
        <v>0</v>
      </c>
      <c r="L34">
        <v>28</v>
      </c>
      <c r="M34">
        <f t="shared" si="0"/>
        <v>0.35185837720205682</v>
      </c>
      <c r="N34">
        <f t="shared" si="1"/>
        <v>782.23621940897328</v>
      </c>
      <c r="O34">
        <f t="shared" si="2"/>
        <v>105.4366715042808</v>
      </c>
      <c r="P34">
        <f t="shared" si="8"/>
        <v>625</v>
      </c>
      <c r="Q34">
        <f t="shared" si="3"/>
        <v>38.893095671510309</v>
      </c>
      <c r="R34">
        <f t="shared" si="4"/>
        <v>325.29941326845164</v>
      </c>
      <c r="S34">
        <f t="shared" si="5"/>
        <v>43.846713468772386</v>
      </c>
      <c r="T34">
        <f t="shared" si="6"/>
        <v>259.91142860451657</v>
      </c>
      <c r="U34">
        <f t="shared" si="7"/>
        <v>25.081019822601725</v>
      </c>
    </row>
    <row r="35" spans="1:21" x14ac:dyDescent="0.55000000000000004">
      <c r="B35" t="s">
        <v>55</v>
      </c>
      <c r="C35">
        <f>C11-C31</f>
        <v>-4.0151922469877919</v>
      </c>
      <c r="L35">
        <v>29</v>
      </c>
      <c r="M35">
        <f t="shared" si="0"/>
        <v>0.36442474781641604</v>
      </c>
      <c r="N35">
        <f t="shared" si="1"/>
        <v>774.91231196154081</v>
      </c>
      <c r="O35">
        <f t="shared" si="2"/>
        <v>112.76057895171316</v>
      </c>
      <c r="P35">
        <f t="shared" si="8"/>
        <v>625</v>
      </c>
      <c r="Q35">
        <f t="shared" si="3"/>
        <v>38.893095671510309</v>
      </c>
      <c r="R35">
        <f t="shared" si="4"/>
        <v>322.25370567224462</v>
      </c>
      <c r="S35">
        <f t="shared" si="5"/>
        <v>46.89242106497943</v>
      </c>
      <c r="T35">
        <f t="shared" si="6"/>
        <v>259.91142860451657</v>
      </c>
      <c r="U35">
        <f t="shared" si="7"/>
        <v>25.081019822601725</v>
      </c>
    </row>
    <row r="36" spans="1:21" x14ac:dyDescent="0.55000000000000004">
      <c r="B36" t="s">
        <v>56</v>
      </c>
      <c r="C36">
        <f>C12-C32</f>
        <v>0</v>
      </c>
      <c r="L36">
        <v>30</v>
      </c>
      <c r="M36">
        <f t="shared" si="0"/>
        <v>0.37699111843077515</v>
      </c>
      <c r="N36">
        <f t="shared" si="1"/>
        <v>767.37928990074272</v>
      </c>
      <c r="O36">
        <f t="shared" si="2"/>
        <v>120.2936010125114</v>
      </c>
      <c r="P36">
        <f t="shared" si="8"/>
        <v>625</v>
      </c>
      <c r="Q36">
        <f t="shared" si="3"/>
        <v>38.893095671510309</v>
      </c>
      <c r="R36">
        <f t="shared" si="4"/>
        <v>319.1210360313944</v>
      </c>
      <c r="S36">
        <f t="shared" si="5"/>
        <v>50.02509070582969</v>
      </c>
      <c r="T36">
        <f t="shared" si="6"/>
        <v>259.91142860451657</v>
      </c>
      <c r="U36">
        <f t="shared" si="7"/>
        <v>25.081019822601725</v>
      </c>
    </row>
    <row r="37" spans="1:21" x14ac:dyDescent="0.55000000000000004">
      <c r="B37" t="s">
        <v>57</v>
      </c>
      <c r="C37">
        <f>C15-C31</f>
        <v>0</v>
      </c>
      <c r="L37">
        <v>31</v>
      </c>
      <c r="M37">
        <f t="shared" si="0"/>
        <v>0.38955748904513432</v>
      </c>
      <c r="N37">
        <f t="shared" si="1"/>
        <v>759.6419112447702</v>
      </c>
      <c r="O37">
        <f t="shared" si="2"/>
        <v>128.03097966848384</v>
      </c>
      <c r="P37">
        <f t="shared" si="8"/>
        <v>625</v>
      </c>
      <c r="Q37">
        <f t="shared" si="3"/>
        <v>38.893095671510309</v>
      </c>
      <c r="R37">
        <f t="shared" si="4"/>
        <v>315.90338300718975</v>
      </c>
      <c r="S37">
        <f t="shared" si="5"/>
        <v>53.24274373003432</v>
      </c>
      <c r="T37">
        <f t="shared" si="6"/>
        <v>259.91142860451657</v>
      </c>
      <c r="U37">
        <f t="shared" si="7"/>
        <v>25.081019822601725</v>
      </c>
    </row>
    <row r="38" spans="1:21" x14ac:dyDescent="0.55000000000000004">
      <c r="B38" t="s">
        <v>58</v>
      </c>
      <c r="C38">
        <f>C16-C32</f>
        <v>4.7851197853041194</v>
      </c>
      <c r="E38" t="s">
        <v>45</v>
      </c>
      <c r="F38" t="s">
        <v>46</v>
      </c>
      <c r="L38">
        <v>32</v>
      </c>
      <c r="M38">
        <f t="shared" si="0"/>
        <v>0.40212385965949354</v>
      </c>
      <c r="N38">
        <f t="shared" si="1"/>
        <v>751.70506308782115</v>
      </c>
      <c r="O38">
        <f t="shared" si="2"/>
        <v>135.96782782543301</v>
      </c>
      <c r="P38">
        <f t="shared" si="8"/>
        <v>625</v>
      </c>
      <c r="Q38">
        <f t="shared" si="3"/>
        <v>38.893095671510309</v>
      </c>
      <c r="R38">
        <f t="shared" si="4"/>
        <v>312.6027789382461</v>
      </c>
      <c r="S38">
        <f t="shared" si="5"/>
        <v>56.543347798977962</v>
      </c>
      <c r="T38">
        <f t="shared" si="6"/>
        <v>259.91142860451657</v>
      </c>
      <c r="U38">
        <f t="shared" si="7"/>
        <v>25.081019822601725</v>
      </c>
    </row>
    <row r="39" spans="1:21" x14ac:dyDescent="0.55000000000000004">
      <c r="B39" t="s">
        <v>42</v>
      </c>
      <c r="C39">
        <f>DEGREES(ATAN((C14-C12)/(C13-C11)))</f>
        <v>0</v>
      </c>
      <c r="E39">
        <f>SIN(DEGREES(C39))</f>
        <v>0</v>
      </c>
      <c r="F39">
        <f>COS(DEGREES(C39))</f>
        <v>1</v>
      </c>
      <c r="L39">
        <v>33</v>
      </c>
      <c r="M39">
        <f t="shared" si="0"/>
        <v>0.41469023027385271</v>
      </c>
      <c r="N39">
        <f t="shared" si="1"/>
        <v>743.57375851330482</v>
      </c>
      <c r="O39">
        <f t="shared" si="2"/>
        <v>144.09913239994918</v>
      </c>
      <c r="P39">
        <f t="shared" si="8"/>
        <v>625</v>
      </c>
      <c r="Q39">
        <f t="shared" si="3"/>
        <v>38.893095671510309</v>
      </c>
      <c r="R39">
        <f t="shared" si="4"/>
        <v>309.22130855683656</v>
      </c>
      <c r="S39">
        <f t="shared" si="5"/>
        <v>59.924818180387469</v>
      </c>
      <c r="T39">
        <f t="shared" si="6"/>
        <v>259.91142860451657</v>
      </c>
      <c r="U39">
        <f t="shared" si="7"/>
        <v>25.081019822601725</v>
      </c>
    </row>
    <row r="40" spans="1:21" x14ac:dyDescent="0.55000000000000004">
      <c r="A40" t="s">
        <v>59</v>
      </c>
      <c r="B40" t="s">
        <v>60</v>
      </c>
      <c r="C40">
        <f>F39*C33+E39*C34</f>
        <v>4.0151922469877919</v>
      </c>
      <c r="L40">
        <v>34</v>
      </c>
      <c r="M40">
        <f t="shared" si="0"/>
        <v>0.42725660088821188</v>
      </c>
      <c r="N40">
        <f t="shared" si="1"/>
        <v>735.25313342747233</v>
      </c>
      <c r="O40">
        <f t="shared" si="2"/>
        <v>152.41975748578176</v>
      </c>
      <c r="P40">
        <f t="shared" si="8"/>
        <v>625</v>
      </c>
      <c r="Q40">
        <f t="shared" si="3"/>
        <v>38.893095671510309</v>
      </c>
      <c r="R40">
        <f t="shared" si="4"/>
        <v>305.76110767213049</v>
      </c>
      <c r="S40">
        <f t="shared" si="5"/>
        <v>63.385019065093587</v>
      </c>
      <c r="T40">
        <f t="shared" si="6"/>
        <v>259.91142860451657</v>
      </c>
      <c r="U40">
        <f t="shared" si="7"/>
        <v>25.081019822601725</v>
      </c>
    </row>
    <row r="41" spans="1:21" x14ac:dyDescent="0.55000000000000004">
      <c r="B41" t="s">
        <v>61</v>
      </c>
      <c r="C41">
        <f>-1*E39*C33+F39*C34</f>
        <v>0</v>
      </c>
      <c r="L41">
        <v>35</v>
      </c>
      <c r="M41">
        <f t="shared" si="0"/>
        <v>0.43982297150257105</v>
      </c>
      <c r="N41">
        <f t="shared" si="1"/>
        <v>726.74844331546706</v>
      </c>
      <c r="O41">
        <f t="shared" si="2"/>
        <v>160.92444759778712</v>
      </c>
      <c r="P41">
        <f t="shared" si="8"/>
        <v>625</v>
      </c>
      <c r="Q41">
        <f t="shared" si="3"/>
        <v>38.893095671510309</v>
      </c>
      <c r="R41">
        <f t="shared" si="4"/>
        <v>302.22436182117048</v>
      </c>
      <c r="S41">
        <f t="shared" si="5"/>
        <v>66.921764916053618</v>
      </c>
      <c r="T41">
        <f t="shared" si="6"/>
        <v>259.91142860451657</v>
      </c>
      <c r="U41">
        <f t="shared" si="7"/>
        <v>25.081019822601725</v>
      </c>
    </row>
    <row r="42" spans="1:21" x14ac:dyDescent="0.55000000000000004">
      <c r="B42" t="s">
        <v>62</v>
      </c>
      <c r="C42">
        <f>F39*C35+E39*C36</f>
        <v>-4.0151922469877919</v>
      </c>
      <c r="L42">
        <v>36</v>
      </c>
      <c r="M42">
        <f t="shared" si="0"/>
        <v>0.45238934211693022</v>
      </c>
      <c r="N42">
        <f t="shared" si="1"/>
        <v>718.06505992184793</v>
      </c>
      <c r="O42">
        <f t="shared" si="2"/>
        <v>169.60783099140616</v>
      </c>
      <c r="P42">
        <f t="shared" si="8"/>
        <v>625</v>
      </c>
      <c r="Q42">
        <f t="shared" si="3"/>
        <v>38.893095671510309</v>
      </c>
      <c r="R42">
        <f t="shared" si="4"/>
        <v>298.61330488844044</v>
      </c>
      <c r="S42">
        <f t="shared" si="5"/>
        <v>70.532821848783627</v>
      </c>
      <c r="T42">
        <f t="shared" si="6"/>
        <v>259.91142860451657</v>
      </c>
      <c r="U42">
        <f t="shared" si="7"/>
        <v>25.081019822601725</v>
      </c>
    </row>
    <row r="43" spans="1:21" x14ac:dyDescent="0.55000000000000004">
      <c r="B43" t="s">
        <v>63</v>
      </c>
      <c r="C43">
        <f>-1*E39*C35+F39*C36</f>
        <v>0</v>
      </c>
      <c r="L43">
        <v>37</v>
      </c>
      <c r="M43">
        <f t="shared" si="0"/>
        <v>0.46495571273128938</v>
      </c>
      <c r="N43">
        <f t="shared" si="1"/>
        <v>709.20846785768106</v>
      </c>
      <c r="O43">
        <f t="shared" si="2"/>
        <v>178.46442305557301</v>
      </c>
      <c r="P43">
        <f t="shared" si="8"/>
        <v>625</v>
      </c>
      <c r="Q43">
        <f t="shared" si="3"/>
        <v>38.893095671510309</v>
      </c>
      <c r="R43">
        <f t="shared" si="4"/>
        <v>294.93021769489638</v>
      </c>
      <c r="S43">
        <f t="shared" si="5"/>
        <v>74.215909042327681</v>
      </c>
      <c r="T43">
        <f t="shared" si="6"/>
        <v>259.91142860451657</v>
      </c>
      <c r="U43">
        <f t="shared" si="7"/>
        <v>25.081019822601725</v>
      </c>
    </row>
    <row r="44" spans="1:21" x14ac:dyDescent="0.55000000000000004">
      <c r="B44" t="s">
        <v>64</v>
      </c>
      <c r="C44">
        <f>F39*C37+E39*C38</f>
        <v>0</v>
      </c>
      <c r="L44">
        <v>38</v>
      </c>
      <c r="M44">
        <f t="shared" si="0"/>
        <v>0.47752208334564855</v>
      </c>
      <c r="N44">
        <f t="shared" si="1"/>
        <v>700.18426113634098</v>
      </c>
      <c r="O44">
        <f t="shared" si="2"/>
        <v>187.48862977691309</v>
      </c>
      <c r="P44">
        <f t="shared" si="8"/>
        <v>625</v>
      </c>
      <c r="Q44">
        <f t="shared" si="3"/>
        <v>38.893095671510309</v>
      </c>
      <c r="R44">
        <f t="shared" si="4"/>
        <v>291.17742655735083</v>
      </c>
      <c r="S44">
        <f t="shared" si="5"/>
        <v>77.968700179873252</v>
      </c>
      <c r="T44">
        <f t="shared" si="6"/>
        <v>259.91142860451657</v>
      </c>
      <c r="U44">
        <f t="shared" si="7"/>
        <v>25.081019822601725</v>
      </c>
    </row>
    <row r="45" spans="1:21" x14ac:dyDescent="0.55000000000000004">
      <c r="B45" t="s">
        <v>65</v>
      </c>
      <c r="C45">
        <f>-1*E39*C37+F39*C38</f>
        <v>4.7851197853041194</v>
      </c>
      <c r="L45">
        <v>39</v>
      </c>
      <c r="M45">
        <f t="shared" si="0"/>
        <v>0.49008845396000772</v>
      </c>
      <c r="N45">
        <f t="shared" si="1"/>
        <v>690.99813964021223</v>
      </c>
      <c r="O45">
        <f t="shared" si="2"/>
        <v>196.67475127304178</v>
      </c>
      <c r="P45">
        <f t="shared" si="8"/>
        <v>625</v>
      </c>
      <c r="Q45">
        <f t="shared" si="3"/>
        <v>38.893095671510309</v>
      </c>
      <c r="R45">
        <f t="shared" si="4"/>
        <v>287.35730181912123</v>
      </c>
      <c r="S45">
        <f t="shared" si="5"/>
        <v>81.788824918102804</v>
      </c>
      <c r="T45">
        <f t="shared" si="6"/>
        <v>259.91142860451657</v>
      </c>
      <c r="U45">
        <f t="shared" si="7"/>
        <v>25.081019822601725</v>
      </c>
    </row>
    <row r="46" spans="1:21" x14ac:dyDescent="0.55000000000000004">
      <c r="L46">
        <v>40</v>
      </c>
      <c r="M46">
        <f t="shared" si="0"/>
        <v>0.50265482457436694</v>
      </c>
      <c r="N46">
        <f t="shared" si="1"/>
        <v>681.65590552052174</v>
      </c>
      <c r="O46">
        <f t="shared" si="2"/>
        <v>206.01698539273235</v>
      </c>
      <c r="P46">
        <f t="shared" si="8"/>
        <v>625</v>
      </c>
      <c r="Q46">
        <f t="shared" si="3"/>
        <v>38.893095671510309</v>
      </c>
      <c r="R46">
        <f t="shared" si="4"/>
        <v>283.47225635287066</v>
      </c>
      <c r="S46">
        <f t="shared" si="5"/>
        <v>85.673870384353407</v>
      </c>
      <c r="T46">
        <f t="shared" si="6"/>
        <v>259.91142860451657</v>
      </c>
      <c r="U46">
        <f t="shared" si="7"/>
        <v>25.081019822601725</v>
      </c>
    </row>
    <row r="47" spans="1:21" x14ac:dyDescent="0.55000000000000004">
      <c r="L47">
        <v>41</v>
      </c>
      <c r="M47">
        <f t="shared" si="0"/>
        <v>0.515221195188726</v>
      </c>
      <c r="N47">
        <f t="shared" si="1"/>
        <v>672.1634595325753</v>
      </c>
      <c r="O47">
        <f t="shared" si="2"/>
        <v>215.50943138067873</v>
      </c>
      <c r="P47">
        <f t="shared" si="8"/>
        <v>625</v>
      </c>
      <c r="Q47">
        <f t="shared" si="3"/>
        <v>38.893095671510309</v>
      </c>
      <c r="R47">
        <f t="shared" si="4"/>
        <v>279.52474403658528</v>
      </c>
      <c r="S47">
        <f t="shared" si="5"/>
        <v>89.62138270063879</v>
      </c>
      <c r="T47">
        <f t="shared" si="6"/>
        <v>259.91142860451657</v>
      </c>
      <c r="U47">
        <f t="shared" si="7"/>
        <v>25.081019822601725</v>
      </c>
    </row>
    <row r="48" spans="1:21" x14ac:dyDescent="0.55000000000000004">
      <c r="L48">
        <v>42</v>
      </c>
      <c r="M48">
        <f t="shared" si="0"/>
        <v>0.52778756580308528</v>
      </c>
      <c r="N48">
        <f t="shared" si="1"/>
        <v>662.52679730871409</v>
      </c>
      <c r="O48">
        <f t="shared" si="2"/>
        <v>225.14609360453983</v>
      </c>
      <c r="P48">
        <f t="shared" si="8"/>
        <v>625</v>
      </c>
      <c r="Q48">
        <f t="shared" si="3"/>
        <v>38.893095671510309</v>
      </c>
      <c r="R48">
        <f t="shared" si="4"/>
        <v>275.51725820365255</v>
      </c>
      <c r="S48">
        <f t="shared" si="5"/>
        <v>93.628868533571449</v>
      </c>
      <c r="T48">
        <f t="shared" si="6"/>
        <v>259.91142860451657</v>
      </c>
      <c r="U48">
        <f t="shared" si="7"/>
        <v>25.081019822601721</v>
      </c>
    </row>
    <row r="49" spans="12:21" x14ac:dyDescent="0.55000000000000004">
      <c r="L49">
        <v>43</v>
      </c>
      <c r="M49">
        <f t="shared" si="0"/>
        <v>0.54035393641744445</v>
      </c>
      <c r="N49">
        <f t="shared" si="1"/>
        <v>652.75200557134542</v>
      </c>
      <c r="O49">
        <f t="shared" si="2"/>
        <v>234.92088534190847</v>
      </c>
      <c r="P49">
        <f t="shared" si="8"/>
        <v>625</v>
      </c>
      <c r="Q49">
        <f t="shared" si="3"/>
        <v>38.893095671510309</v>
      </c>
      <c r="R49">
        <f t="shared" si="4"/>
        <v>271.4523300680188</v>
      </c>
      <c r="S49">
        <f t="shared" si="5"/>
        <v>97.693796669205213</v>
      </c>
      <c r="T49">
        <f t="shared" si="6"/>
        <v>259.91142860451657</v>
      </c>
      <c r="U49">
        <f t="shared" si="7"/>
        <v>25.081019822601721</v>
      </c>
    </row>
    <row r="50" spans="12:21" x14ac:dyDescent="0.55000000000000004">
      <c r="L50">
        <v>44</v>
      </c>
      <c r="M50">
        <f t="shared" si="0"/>
        <v>0.5529203070318035</v>
      </c>
      <c r="N50">
        <f t="shared" si="1"/>
        <v>642.84525828843778</v>
      </c>
      <c r="O50">
        <f t="shared" si="2"/>
        <v>244.82763262481629</v>
      </c>
      <c r="P50">
        <f t="shared" si="8"/>
        <v>625</v>
      </c>
      <c r="Q50">
        <f t="shared" si="3"/>
        <v>38.893095671510309</v>
      </c>
      <c r="R50">
        <f t="shared" si="4"/>
        <v>267.33252712541963</v>
      </c>
      <c r="S50">
        <f t="shared" si="5"/>
        <v>101.81359961180439</v>
      </c>
      <c r="T50">
        <f t="shared" si="6"/>
        <v>259.91142860451657</v>
      </c>
      <c r="U50">
        <f t="shared" si="7"/>
        <v>25.081019822601721</v>
      </c>
    </row>
    <row r="51" spans="12:21" x14ac:dyDescent="0.55000000000000004">
      <c r="L51">
        <v>45</v>
      </c>
      <c r="M51">
        <f t="shared" si="0"/>
        <v>0.56548667764616278</v>
      </c>
      <c r="N51">
        <f t="shared" si="1"/>
        <v>632.81281277390963</v>
      </c>
      <c r="O51">
        <f t="shared" si="2"/>
        <v>254.86007813934441</v>
      </c>
      <c r="P51">
        <f t="shared" si="8"/>
        <v>625</v>
      </c>
      <c r="Q51">
        <f t="shared" si="3"/>
        <v>38.893095671510309</v>
      </c>
      <c r="R51">
        <f t="shared" si="4"/>
        <v>263.16045153169489</v>
      </c>
      <c r="S51">
        <f t="shared" si="5"/>
        <v>105.98567520552915</v>
      </c>
      <c r="T51">
        <f t="shared" si="6"/>
        <v>259.91142860451657</v>
      </c>
      <c r="U51">
        <f t="shared" si="7"/>
        <v>25.081019822601725</v>
      </c>
    </row>
    <row r="52" spans="12:21" x14ac:dyDescent="0.55000000000000004">
      <c r="L52">
        <v>46</v>
      </c>
      <c r="M52">
        <f t="shared" si="0"/>
        <v>0.57805304826052195</v>
      </c>
      <c r="N52">
        <f t="shared" si="1"/>
        <v>622.66100573537813</v>
      </c>
      <c r="O52">
        <f t="shared" si="2"/>
        <v>265.01188517787602</v>
      </c>
      <c r="P52">
        <f t="shared" si="8"/>
        <v>625</v>
      </c>
      <c r="Q52">
        <f t="shared" si="3"/>
        <v>38.893095671510309</v>
      </c>
      <c r="R52">
        <f t="shared" si="4"/>
        <v>258.93873845921155</v>
      </c>
      <c r="S52">
        <f t="shared" si="5"/>
        <v>110.20738827801257</v>
      </c>
      <c r="T52">
        <f t="shared" si="6"/>
        <v>259.91142860451657</v>
      </c>
      <c r="U52">
        <f t="shared" si="7"/>
        <v>25.081019822601725</v>
      </c>
    </row>
    <row r="53" spans="12:21" x14ac:dyDescent="0.55000000000000004">
      <c r="L53">
        <v>47</v>
      </c>
      <c r="M53">
        <f t="shared" si="0"/>
        <v>0.59061941887488112</v>
      </c>
      <c r="N53">
        <f t="shared" si="1"/>
        <v>612.39624927175612</v>
      </c>
      <c r="O53">
        <f t="shared" si="2"/>
        <v>275.27664164149797</v>
      </c>
      <c r="P53">
        <f t="shared" si="8"/>
        <v>625</v>
      </c>
      <c r="Q53">
        <f t="shared" si="3"/>
        <v>38.893095671510309</v>
      </c>
      <c r="R53">
        <f t="shared" si="4"/>
        <v>254.67005443243161</v>
      </c>
      <c r="S53">
        <f t="shared" si="5"/>
        <v>114.47607230479245</v>
      </c>
      <c r="T53">
        <f t="shared" si="6"/>
        <v>259.91142860451657</v>
      </c>
      <c r="U53">
        <f t="shared" si="7"/>
        <v>25.081019822601725</v>
      </c>
    </row>
    <row r="54" spans="12:21" x14ac:dyDescent="0.55000000000000004">
      <c r="L54">
        <v>48</v>
      </c>
      <c r="M54">
        <f t="shared" si="0"/>
        <v>0.60318578948924029</v>
      </c>
      <c r="N54">
        <f t="shared" si="1"/>
        <v>602.02502682323473</v>
      </c>
      <c r="O54">
        <f t="shared" si="2"/>
        <v>285.64786409001937</v>
      </c>
      <c r="P54">
        <f t="shared" si="8"/>
        <v>625</v>
      </c>
      <c r="Q54">
        <f t="shared" si="3"/>
        <v>38.893095671510309</v>
      </c>
      <c r="R54">
        <f t="shared" si="4"/>
        <v>250.35709564367895</v>
      </c>
      <c r="S54">
        <f t="shared" si="5"/>
        <v>118.78903109354515</v>
      </c>
      <c r="T54">
        <f t="shared" si="6"/>
        <v>259.91142860451657</v>
      </c>
      <c r="U54">
        <f t="shared" si="7"/>
        <v>25.081019822601725</v>
      </c>
    </row>
    <row r="55" spans="12:21" x14ac:dyDescent="0.55000000000000004">
      <c r="L55">
        <v>49</v>
      </c>
      <c r="M55">
        <f t="shared" si="0"/>
        <v>0.61575216010359946</v>
      </c>
      <c r="N55">
        <f t="shared" si="1"/>
        <v>591.55388907620306</v>
      </c>
      <c r="O55">
        <f t="shared" si="2"/>
        <v>296.11900183705103</v>
      </c>
      <c r="P55">
        <f t="shared" si="8"/>
        <v>625</v>
      </c>
      <c r="Q55">
        <f t="shared" si="3"/>
        <v>38.893095671510309</v>
      </c>
      <c r="R55">
        <f t="shared" si="4"/>
        <v>246.00258625016585</v>
      </c>
      <c r="S55">
        <f t="shared" si="5"/>
        <v>123.14354048705823</v>
      </c>
      <c r="T55">
        <f t="shared" si="6"/>
        <v>259.91142860451657</v>
      </c>
      <c r="U55">
        <f t="shared" si="7"/>
        <v>25.081019822601725</v>
      </c>
    </row>
    <row r="56" spans="12:21" x14ac:dyDescent="0.55000000000000004">
      <c r="L56">
        <v>50</v>
      </c>
      <c r="M56">
        <f t="shared" si="0"/>
        <v>0.62831853071795862</v>
      </c>
      <c r="N56">
        <f t="shared" si="1"/>
        <v>580.98944982569424</v>
      </c>
      <c r="O56">
        <f t="shared" si="2"/>
        <v>306.68344108755986</v>
      </c>
      <c r="P56">
        <f t="shared" si="8"/>
        <v>625</v>
      </c>
      <c r="Q56">
        <f t="shared" si="3"/>
        <v>38.893095671510309</v>
      </c>
      <c r="R56">
        <f t="shared" si="4"/>
        <v>241.60927665335723</v>
      </c>
      <c r="S56">
        <f t="shared" si="5"/>
        <v>127.53685008386682</v>
      </c>
      <c r="T56">
        <f t="shared" si="6"/>
        <v>259.91142860451657</v>
      </c>
      <c r="U56">
        <f t="shared" si="7"/>
        <v>25.081019822601725</v>
      </c>
    </row>
    <row r="57" spans="12:21" x14ac:dyDescent="0.55000000000000004">
      <c r="L57">
        <v>51</v>
      </c>
      <c r="M57">
        <f t="shared" si="0"/>
        <v>0.64088490133231779</v>
      </c>
      <c r="N57">
        <f t="shared" si="1"/>
        <v>570.33838179797078</v>
      </c>
      <c r="O57">
        <f t="shared" si="2"/>
        <v>317.33450911528337</v>
      </c>
      <c r="P57">
        <f t="shared" si="8"/>
        <v>625</v>
      </c>
      <c r="Q57">
        <f t="shared" si="3"/>
        <v>38.893095671510309</v>
      </c>
      <c r="R57">
        <f t="shared" si="4"/>
        <v>237.17994176175802</v>
      </c>
      <c r="S57">
        <f t="shared" si="5"/>
        <v>131.96618497546604</v>
      </c>
      <c r="T57">
        <f t="shared" si="6"/>
        <v>259.91142860451657</v>
      </c>
      <c r="U57">
        <f t="shared" si="7"/>
        <v>25.081019822601725</v>
      </c>
    </row>
    <row r="58" spans="12:21" x14ac:dyDescent="0.55000000000000004">
      <c r="L58">
        <v>52</v>
      </c>
      <c r="M58">
        <f t="shared" si="0"/>
        <v>0.65345127194667707</v>
      </c>
      <c r="N58">
        <f t="shared" si="1"/>
        <v>559.60741243588723</v>
      </c>
      <c r="O58">
        <f t="shared" si="2"/>
        <v>328.06547847736687</v>
      </c>
      <c r="P58">
        <f t="shared" si="8"/>
        <v>625</v>
      </c>
      <c r="Q58">
        <f t="shared" si="3"/>
        <v>38.893095671510309</v>
      </c>
      <c r="R58">
        <f t="shared" si="4"/>
        <v>232.71737923822135</v>
      </c>
      <c r="S58">
        <f t="shared" si="5"/>
        <v>136.42874749900272</v>
      </c>
      <c r="T58">
        <f t="shared" si="6"/>
        <v>259.91142860451657</v>
      </c>
      <c r="U58">
        <f t="shared" si="7"/>
        <v>25.081019822601725</v>
      </c>
    </row>
    <row r="59" spans="12:21" x14ac:dyDescent="0.55000000000000004">
      <c r="L59">
        <v>53</v>
      </c>
      <c r="M59">
        <f t="shared" si="0"/>
        <v>0.66601764256103613</v>
      </c>
      <c r="N59">
        <f t="shared" si="1"/>
        <v>548.80331964969446</v>
      </c>
      <c r="O59">
        <f t="shared" si="2"/>
        <v>338.86957126355958</v>
      </c>
      <c r="P59">
        <f t="shared" si="8"/>
        <v>625</v>
      </c>
      <c r="Q59">
        <f t="shared" si="3"/>
        <v>38.893095671510309</v>
      </c>
      <c r="R59">
        <f t="shared" si="4"/>
        <v>228.22440773288517</v>
      </c>
      <c r="S59">
        <f t="shared" si="5"/>
        <v>140.92171900433888</v>
      </c>
      <c r="T59">
        <f t="shared" si="6"/>
        <v>259.91142860451657</v>
      </c>
      <c r="U59">
        <f t="shared" si="7"/>
        <v>25.081019822601725</v>
      </c>
    </row>
    <row r="60" spans="12:21" x14ac:dyDescent="0.55000000000000004">
      <c r="L60">
        <v>54</v>
      </c>
      <c r="M60">
        <f t="shared" si="0"/>
        <v>0.6785840131753953</v>
      </c>
      <c r="N60">
        <f t="shared" si="1"/>
        <v>537.93292753596415</v>
      </c>
      <c r="O60">
        <f t="shared" si="2"/>
        <v>349.73996337728988</v>
      </c>
      <c r="P60">
        <f t="shared" si="8"/>
        <v>625</v>
      </c>
      <c r="Q60">
        <f t="shared" si="3"/>
        <v>38.893095671510309</v>
      </c>
      <c r="R60">
        <f t="shared" si="4"/>
        <v>223.70386510285172</v>
      </c>
      <c r="S60">
        <f t="shared" si="5"/>
        <v>145.44226163437233</v>
      </c>
      <c r="T60">
        <f t="shared" si="6"/>
        <v>259.91142860451657</v>
      </c>
      <c r="U60">
        <f t="shared" si="7"/>
        <v>25.081019822601725</v>
      </c>
    </row>
    <row r="61" spans="12:21" x14ac:dyDescent="0.55000000000000004">
      <c r="L61">
        <v>55</v>
      </c>
      <c r="M61">
        <f t="shared" si="0"/>
        <v>0.69115038378975457</v>
      </c>
      <c r="N61">
        <f t="shared" si="1"/>
        <v>527.00310206734491</v>
      </c>
      <c r="O61">
        <f t="shared" si="2"/>
        <v>360.66978884590907</v>
      </c>
      <c r="P61">
        <f t="shared" si="8"/>
        <v>625</v>
      </c>
      <c r="Q61">
        <f t="shared" si="3"/>
        <v>38.893095671510309</v>
      </c>
      <c r="R61">
        <f t="shared" si="4"/>
        <v>219.15860661973676</v>
      </c>
      <c r="S61">
        <f t="shared" si="5"/>
        <v>149.98752011748726</v>
      </c>
      <c r="T61">
        <f t="shared" si="6"/>
        <v>259.91142860451657</v>
      </c>
      <c r="U61">
        <f t="shared" si="7"/>
        <v>25.081019822601721</v>
      </c>
    </row>
    <row r="62" spans="12:21" x14ac:dyDescent="0.55000000000000004">
      <c r="L62">
        <v>56</v>
      </c>
      <c r="M62">
        <f t="shared" si="0"/>
        <v>0.70371675440411363</v>
      </c>
      <c r="N62">
        <f t="shared" si="1"/>
        <v>516.02074675586641</v>
      </c>
      <c r="O62">
        <f t="shared" si="2"/>
        <v>371.65214415738751</v>
      </c>
      <c r="P62">
        <f t="shared" si="8"/>
        <v>625</v>
      </c>
      <c r="Q62">
        <f t="shared" si="3"/>
        <v>38.893095671510309</v>
      </c>
      <c r="R62">
        <f t="shared" si="4"/>
        <v>214.59150316621873</v>
      </c>
      <c r="S62">
        <f t="shared" si="5"/>
        <v>154.55462357100532</v>
      </c>
      <c r="T62">
        <f t="shared" si="6"/>
        <v>259.91142860451657</v>
      </c>
      <c r="U62">
        <f t="shared" si="7"/>
        <v>25.081019822601725</v>
      </c>
    </row>
    <row r="63" spans="12:21" x14ac:dyDescent="0.55000000000000004">
      <c r="L63">
        <v>57</v>
      </c>
      <c r="M63">
        <f t="shared" si="0"/>
        <v>0.7162831250184728</v>
      </c>
      <c r="N63">
        <f t="shared" si="1"/>
        <v>504.99279829253226</v>
      </c>
      <c r="O63">
        <f t="shared" si="2"/>
        <v>382.68009262072184</v>
      </c>
      <c r="P63">
        <f t="shared" si="8"/>
        <v>625</v>
      </c>
      <c r="Q63">
        <f t="shared" si="3"/>
        <v>38.893095671510309</v>
      </c>
      <c r="R63">
        <f t="shared" si="4"/>
        <v>210.00543942272722</v>
      </c>
      <c r="S63">
        <f t="shared" si="5"/>
        <v>159.14068731449686</v>
      </c>
      <c r="T63">
        <f t="shared" si="6"/>
        <v>259.91142860451657</v>
      </c>
      <c r="U63">
        <f t="shared" si="7"/>
        <v>25.081019822601725</v>
      </c>
    </row>
    <row r="64" spans="12:21" x14ac:dyDescent="0.55000000000000004">
      <c r="L64">
        <v>58</v>
      </c>
      <c r="M64">
        <f t="shared" si="0"/>
        <v>0.72884949563283208</v>
      </c>
      <c r="N64">
        <f t="shared" si="1"/>
        <v>493.92622216595817</v>
      </c>
      <c r="O64">
        <f t="shared" si="2"/>
        <v>393.74666874729587</v>
      </c>
      <c r="P64">
        <f t="shared" si="8"/>
        <v>625</v>
      </c>
      <c r="Q64">
        <f t="shared" si="3"/>
        <v>38.893095671510309</v>
      </c>
      <c r="R64">
        <f t="shared" si="4"/>
        <v>205.40331204541761</v>
      </c>
      <c r="S64">
        <f t="shared" si="5"/>
        <v>163.74281469180644</v>
      </c>
      <c r="T64">
        <f t="shared" si="6"/>
        <v>259.91142860451657</v>
      </c>
      <c r="U64">
        <f t="shared" si="7"/>
        <v>25.081019822601725</v>
      </c>
    </row>
    <row r="65" spans="12:21" x14ac:dyDescent="0.55000000000000004">
      <c r="L65">
        <v>59</v>
      </c>
      <c r="M65">
        <f t="shared" si="0"/>
        <v>0.74141586624719114</v>
      </c>
      <c r="N65">
        <f t="shared" si="1"/>
        <v>482.82800826282045</v>
      </c>
      <c r="O65">
        <f t="shared" si="2"/>
        <v>404.84488265043359</v>
      </c>
      <c r="P65">
        <f t="shared" si="8"/>
        <v>625</v>
      </c>
      <c r="Q65">
        <f t="shared" si="3"/>
        <v>38.893095671510309</v>
      </c>
      <c r="R65">
        <f t="shared" si="4"/>
        <v>200.78802783658077</v>
      </c>
      <c r="S65">
        <f t="shared" si="5"/>
        <v>168.35809890064328</v>
      </c>
      <c r="T65">
        <f t="shared" si="6"/>
        <v>259.91142860451657</v>
      </c>
      <c r="U65">
        <f t="shared" si="7"/>
        <v>25.081019822601725</v>
      </c>
    </row>
    <row r="66" spans="12:21" x14ac:dyDescent="0.55000000000000004">
      <c r="L66">
        <v>60</v>
      </c>
      <c r="M66">
        <f t="shared" si="0"/>
        <v>0.7539822368615503</v>
      </c>
      <c r="N66">
        <f t="shared" si="1"/>
        <v>471.70516645289246</v>
      </c>
      <c r="O66">
        <f t="shared" si="2"/>
        <v>415.96772446036158</v>
      </c>
      <c r="P66">
        <f t="shared" si="8"/>
        <v>625</v>
      </c>
      <c r="Q66">
        <f t="shared" si="3"/>
        <v>38.893095671510309</v>
      </c>
      <c r="R66">
        <f t="shared" si="4"/>
        <v>196.16250190864406</v>
      </c>
      <c r="S66">
        <f t="shared" si="5"/>
        <v>172.98362482857996</v>
      </c>
      <c r="T66">
        <f t="shared" si="6"/>
        <v>259.91142860451657</v>
      </c>
      <c r="U66">
        <f t="shared" si="7"/>
        <v>25.081019822601721</v>
      </c>
    </row>
    <row r="67" spans="12:21" x14ac:dyDescent="0.55000000000000004">
      <c r="L67">
        <v>61</v>
      </c>
      <c r="M67">
        <f t="shared" si="0"/>
        <v>0.76654860747590958</v>
      </c>
      <c r="N67">
        <f t="shared" si="1"/>
        <v>460.56472216146165</v>
      </c>
      <c r="O67">
        <f t="shared" si="2"/>
        <v>427.10816875179239</v>
      </c>
      <c r="P67">
        <f t="shared" si="8"/>
        <v>625</v>
      </c>
      <c r="Q67">
        <f t="shared" si="3"/>
        <v>38.893095671510309</v>
      </c>
      <c r="R67">
        <f t="shared" si="4"/>
        <v>191.52965584292437</v>
      </c>
      <c r="S67">
        <f t="shared" si="5"/>
        <v>177.61647089429968</v>
      </c>
      <c r="T67">
        <f t="shared" si="6"/>
        <v>259.91142860451657</v>
      </c>
      <c r="U67">
        <f t="shared" si="7"/>
        <v>25.081019822601725</v>
      </c>
    </row>
    <row r="68" spans="12:21" x14ac:dyDescent="0.55000000000000004">
      <c r="L68">
        <v>62</v>
      </c>
      <c r="M68">
        <f t="shared" si="0"/>
        <v>0.77911497809026864</v>
      </c>
      <c r="N68">
        <f t="shared" si="1"/>
        <v>449.4137119319206</v>
      </c>
      <c r="O68">
        <f t="shared" si="2"/>
        <v>438.2591789813336</v>
      </c>
      <c r="P68">
        <f t="shared" si="8"/>
        <v>625</v>
      </c>
      <c r="Q68">
        <f t="shared" si="3"/>
        <v>38.893095671510309</v>
      </c>
      <c r="R68">
        <f t="shared" si="4"/>
        <v>186.89241584429462</v>
      </c>
      <c r="S68">
        <f t="shared" si="5"/>
        <v>182.25371089292949</v>
      </c>
      <c r="T68">
        <f t="shared" si="6"/>
        <v>259.91142860451657</v>
      </c>
      <c r="U68">
        <f t="shared" si="7"/>
        <v>25.081019822601725</v>
      </c>
    </row>
    <row r="69" spans="12:21" x14ac:dyDescent="0.55000000000000004">
      <c r="L69">
        <v>63</v>
      </c>
      <c r="M69">
        <f t="shared" si="0"/>
        <v>0.79168134870462792</v>
      </c>
      <c r="N69">
        <f t="shared" si="1"/>
        <v>438.2591789813336</v>
      </c>
      <c r="O69">
        <f t="shared" si="2"/>
        <v>449.41371193192049</v>
      </c>
      <c r="P69">
        <f t="shared" si="8"/>
        <v>625</v>
      </c>
      <c r="Q69">
        <f t="shared" si="3"/>
        <v>38.893095671510309</v>
      </c>
      <c r="R69">
        <f t="shared" si="4"/>
        <v>182.25371089292949</v>
      </c>
      <c r="S69">
        <f t="shared" si="5"/>
        <v>186.89241584429459</v>
      </c>
      <c r="T69">
        <f t="shared" si="6"/>
        <v>259.91142860451657</v>
      </c>
      <c r="U69">
        <f t="shared" si="7"/>
        <v>25.081019822601725</v>
      </c>
    </row>
    <row r="70" spans="12:21" x14ac:dyDescent="0.55000000000000004">
      <c r="L70">
        <v>64</v>
      </c>
      <c r="M70">
        <f t="shared" si="0"/>
        <v>0.80424771931898709</v>
      </c>
      <c r="N70">
        <f t="shared" si="1"/>
        <v>427.10816875179228</v>
      </c>
      <c r="O70">
        <f t="shared" si="2"/>
        <v>460.56472216146182</v>
      </c>
      <c r="P70">
        <f t="shared" si="8"/>
        <v>625</v>
      </c>
      <c r="Q70">
        <f t="shared" si="3"/>
        <v>38.893095671510309</v>
      </c>
      <c r="R70">
        <f t="shared" si="4"/>
        <v>177.61647089429962</v>
      </c>
      <c r="S70">
        <f t="shared" si="5"/>
        <v>191.52965584292446</v>
      </c>
      <c r="T70">
        <f t="shared" si="6"/>
        <v>259.91142860451657</v>
      </c>
      <c r="U70">
        <f t="shared" si="7"/>
        <v>25.081019822601725</v>
      </c>
    </row>
    <row r="71" spans="12:21" x14ac:dyDescent="0.55000000000000004">
      <c r="L71">
        <v>65</v>
      </c>
      <c r="M71">
        <f t="shared" ref="M71:M134" si="9">2*PI()*L71/500</f>
        <v>0.81681408993334614</v>
      </c>
      <c r="N71">
        <f t="shared" ref="N71:N134" si="10">$C$16^2*$C$3^2*COS(M71)^2</f>
        <v>415.96772446036169</v>
      </c>
      <c r="O71">
        <f t="shared" ref="O71:O134" si="11">$C$16^2*$C$3^2*SIN(M71)^2</f>
        <v>471.70516645289223</v>
      </c>
      <c r="P71">
        <f t="shared" ref="P71:P134" si="12">($C$3^2-$C$15*$C$3*SIN(M71))^2</f>
        <v>625</v>
      </c>
      <c r="Q71">
        <f t="shared" ref="Q71:Q134" si="13">SQRT(N71+O71+P71)</f>
        <v>38.893095671510309</v>
      </c>
      <c r="R71">
        <f t="shared" ref="R71:R134" si="14">$C$45^2*$C$28^2*COS(M71)^2</f>
        <v>172.98362482858002</v>
      </c>
      <c r="S71">
        <f t="shared" ref="S71:S134" si="15">$C$45^2*$C$27^2*SIN(M71)^2</f>
        <v>196.162501908644</v>
      </c>
      <c r="T71">
        <f t="shared" ref="T71:T134" si="16">($C$27*$C$28-$C$44*$C$27*SIN(M71))^2</f>
        <v>259.91142860451657</v>
      </c>
      <c r="U71">
        <f t="shared" ref="U71:U134" si="17">SQRT(R71+S71+T71)</f>
        <v>25.081019822601721</v>
      </c>
    </row>
    <row r="72" spans="12:21" x14ac:dyDescent="0.55000000000000004">
      <c r="L72">
        <v>66</v>
      </c>
      <c r="M72">
        <f t="shared" si="9"/>
        <v>0.82938046054770542</v>
      </c>
      <c r="N72">
        <f t="shared" si="10"/>
        <v>404.84488265043376</v>
      </c>
      <c r="O72">
        <f t="shared" si="11"/>
        <v>482.82800826282045</v>
      </c>
      <c r="P72">
        <f t="shared" si="12"/>
        <v>625</v>
      </c>
      <c r="Q72">
        <f t="shared" si="13"/>
        <v>38.893095671510309</v>
      </c>
      <c r="R72">
        <f t="shared" si="14"/>
        <v>168.35809890064334</v>
      </c>
      <c r="S72">
        <f t="shared" si="15"/>
        <v>200.78802783658077</v>
      </c>
      <c r="T72">
        <f t="shared" si="16"/>
        <v>259.91142860451657</v>
      </c>
      <c r="U72">
        <f t="shared" si="17"/>
        <v>25.081019822601725</v>
      </c>
    </row>
    <row r="73" spans="12:21" x14ac:dyDescent="0.55000000000000004">
      <c r="L73">
        <v>67</v>
      </c>
      <c r="M73">
        <f t="shared" si="9"/>
        <v>0.84194683116206459</v>
      </c>
      <c r="N73">
        <f t="shared" si="10"/>
        <v>393.74666874729587</v>
      </c>
      <c r="O73">
        <f t="shared" si="11"/>
        <v>493.92622216595817</v>
      </c>
      <c r="P73">
        <f t="shared" si="12"/>
        <v>625</v>
      </c>
      <c r="Q73">
        <f t="shared" si="13"/>
        <v>38.893095671510309</v>
      </c>
      <c r="R73">
        <f t="shared" si="14"/>
        <v>163.74281469180644</v>
      </c>
      <c r="S73">
        <f t="shared" si="15"/>
        <v>205.40331204541761</v>
      </c>
      <c r="T73">
        <f t="shared" si="16"/>
        <v>259.91142860451657</v>
      </c>
      <c r="U73">
        <f t="shared" si="17"/>
        <v>25.081019822601725</v>
      </c>
    </row>
    <row r="74" spans="12:21" x14ac:dyDescent="0.55000000000000004">
      <c r="L74">
        <v>68</v>
      </c>
      <c r="M74">
        <f t="shared" si="9"/>
        <v>0.85451320177642376</v>
      </c>
      <c r="N74">
        <f t="shared" si="10"/>
        <v>382.68009262072184</v>
      </c>
      <c r="O74">
        <f t="shared" si="11"/>
        <v>504.99279829253214</v>
      </c>
      <c r="P74">
        <f t="shared" si="12"/>
        <v>625</v>
      </c>
      <c r="Q74">
        <f t="shared" si="13"/>
        <v>38.893095671510309</v>
      </c>
      <c r="R74">
        <f t="shared" si="14"/>
        <v>159.14068731449686</v>
      </c>
      <c r="S74">
        <f t="shared" si="15"/>
        <v>210.00543942272719</v>
      </c>
      <c r="T74">
        <f t="shared" si="16"/>
        <v>259.91142860451657</v>
      </c>
      <c r="U74">
        <f t="shared" si="17"/>
        <v>25.081019822601725</v>
      </c>
    </row>
    <row r="75" spans="12:21" x14ac:dyDescent="0.55000000000000004">
      <c r="L75">
        <v>69</v>
      </c>
      <c r="M75">
        <f t="shared" si="9"/>
        <v>0.86707957239078293</v>
      </c>
      <c r="N75">
        <f t="shared" si="10"/>
        <v>371.65214415738762</v>
      </c>
      <c r="O75">
        <f t="shared" si="11"/>
        <v>516.02074675586641</v>
      </c>
      <c r="P75">
        <f t="shared" si="12"/>
        <v>625</v>
      </c>
      <c r="Q75">
        <f t="shared" si="13"/>
        <v>38.893095671510309</v>
      </c>
      <c r="R75">
        <f t="shared" si="14"/>
        <v>154.55462357100535</v>
      </c>
      <c r="S75">
        <f t="shared" si="15"/>
        <v>214.59150316621873</v>
      </c>
      <c r="T75">
        <f t="shared" si="16"/>
        <v>259.91142860451657</v>
      </c>
      <c r="U75">
        <f t="shared" si="17"/>
        <v>25.081019822601725</v>
      </c>
    </row>
    <row r="76" spans="12:21" x14ac:dyDescent="0.55000000000000004">
      <c r="L76">
        <v>70</v>
      </c>
      <c r="M76">
        <f t="shared" si="9"/>
        <v>0.87964594300514209</v>
      </c>
      <c r="N76">
        <f t="shared" si="10"/>
        <v>360.66978884590907</v>
      </c>
      <c r="O76">
        <f t="shared" si="11"/>
        <v>527.00310206734503</v>
      </c>
      <c r="P76">
        <f t="shared" si="12"/>
        <v>625</v>
      </c>
      <c r="Q76">
        <f t="shared" si="13"/>
        <v>38.893095671510309</v>
      </c>
      <c r="R76">
        <f t="shared" si="14"/>
        <v>149.98752011748726</v>
      </c>
      <c r="S76">
        <f t="shared" si="15"/>
        <v>219.15860661973679</v>
      </c>
      <c r="T76">
        <f t="shared" si="16"/>
        <v>259.91142860451657</v>
      </c>
      <c r="U76">
        <f t="shared" si="17"/>
        <v>25.081019822601725</v>
      </c>
    </row>
    <row r="77" spans="12:21" x14ac:dyDescent="0.55000000000000004">
      <c r="L77">
        <v>71</v>
      </c>
      <c r="M77">
        <f t="shared" si="9"/>
        <v>0.89221231361950126</v>
      </c>
      <c r="N77">
        <f t="shared" si="10"/>
        <v>349.73996337728988</v>
      </c>
      <c r="O77">
        <f t="shared" si="11"/>
        <v>537.93292753596415</v>
      </c>
      <c r="P77">
        <f t="shared" si="12"/>
        <v>625</v>
      </c>
      <c r="Q77">
        <f t="shared" si="13"/>
        <v>38.893095671510309</v>
      </c>
      <c r="R77">
        <f t="shared" si="14"/>
        <v>145.44226163437233</v>
      </c>
      <c r="S77">
        <f t="shared" si="15"/>
        <v>223.70386510285172</v>
      </c>
      <c r="T77">
        <f t="shared" si="16"/>
        <v>259.91142860451657</v>
      </c>
      <c r="U77">
        <f t="shared" si="17"/>
        <v>25.081019822601725</v>
      </c>
    </row>
    <row r="78" spans="12:21" x14ac:dyDescent="0.55000000000000004">
      <c r="L78">
        <v>72</v>
      </c>
      <c r="M78">
        <f t="shared" si="9"/>
        <v>0.90477868423386043</v>
      </c>
      <c r="N78">
        <f t="shared" si="10"/>
        <v>338.86957126355958</v>
      </c>
      <c r="O78">
        <f t="shared" si="11"/>
        <v>548.80331964969446</v>
      </c>
      <c r="P78">
        <f t="shared" si="12"/>
        <v>625</v>
      </c>
      <c r="Q78">
        <f t="shared" si="13"/>
        <v>38.893095671510309</v>
      </c>
      <c r="R78">
        <f t="shared" si="14"/>
        <v>140.92171900433888</v>
      </c>
      <c r="S78">
        <f t="shared" si="15"/>
        <v>228.22440773288517</v>
      </c>
      <c r="T78">
        <f t="shared" si="16"/>
        <v>259.91142860451657</v>
      </c>
      <c r="U78">
        <f t="shared" si="17"/>
        <v>25.081019822601725</v>
      </c>
    </row>
    <row r="79" spans="12:21" x14ac:dyDescent="0.55000000000000004">
      <c r="L79">
        <v>73</v>
      </c>
      <c r="M79">
        <f t="shared" si="9"/>
        <v>0.9173450548482196</v>
      </c>
      <c r="N79">
        <f t="shared" si="10"/>
        <v>328.0654784773667</v>
      </c>
      <c r="O79">
        <f t="shared" si="11"/>
        <v>559.60741243588723</v>
      </c>
      <c r="P79">
        <f t="shared" si="12"/>
        <v>625</v>
      </c>
      <c r="Q79">
        <f t="shared" si="13"/>
        <v>38.893095671510309</v>
      </c>
      <c r="R79">
        <f t="shared" si="14"/>
        <v>136.42874749900267</v>
      </c>
      <c r="S79">
        <f t="shared" si="15"/>
        <v>232.71737923822135</v>
      </c>
      <c r="T79">
        <f t="shared" si="16"/>
        <v>259.91142860451657</v>
      </c>
      <c r="U79">
        <f t="shared" si="17"/>
        <v>25.081019822601721</v>
      </c>
    </row>
    <row r="80" spans="12:21" x14ac:dyDescent="0.55000000000000004">
      <c r="L80">
        <v>74</v>
      </c>
      <c r="M80">
        <f t="shared" si="9"/>
        <v>0.92991142546257877</v>
      </c>
      <c r="N80">
        <f t="shared" si="10"/>
        <v>317.33450911528348</v>
      </c>
      <c r="O80">
        <f t="shared" si="11"/>
        <v>570.33838179797056</v>
      </c>
      <c r="P80">
        <f t="shared" si="12"/>
        <v>625</v>
      </c>
      <c r="Q80">
        <f t="shared" si="13"/>
        <v>38.893095671510309</v>
      </c>
      <c r="R80">
        <f t="shared" si="14"/>
        <v>131.96618497546609</v>
      </c>
      <c r="S80">
        <f t="shared" si="15"/>
        <v>237.17994176175796</v>
      </c>
      <c r="T80">
        <f t="shared" si="16"/>
        <v>259.91142860451657</v>
      </c>
      <c r="U80">
        <f t="shared" si="17"/>
        <v>25.081019822601725</v>
      </c>
    </row>
    <row r="81" spans="12:21" x14ac:dyDescent="0.55000000000000004">
      <c r="L81">
        <v>75</v>
      </c>
      <c r="M81">
        <f t="shared" si="9"/>
        <v>0.94247779607693793</v>
      </c>
      <c r="N81">
        <f t="shared" si="10"/>
        <v>306.68344108755986</v>
      </c>
      <c r="O81">
        <f t="shared" si="11"/>
        <v>580.98944982569424</v>
      </c>
      <c r="P81">
        <f t="shared" si="12"/>
        <v>625</v>
      </c>
      <c r="Q81">
        <f t="shared" si="13"/>
        <v>38.893095671510309</v>
      </c>
      <c r="R81">
        <f t="shared" si="14"/>
        <v>127.53685008386682</v>
      </c>
      <c r="S81">
        <f t="shared" si="15"/>
        <v>241.60927665335723</v>
      </c>
      <c r="T81">
        <f t="shared" si="16"/>
        <v>259.91142860451657</v>
      </c>
      <c r="U81">
        <f t="shared" si="17"/>
        <v>25.081019822601725</v>
      </c>
    </row>
    <row r="82" spans="12:21" x14ac:dyDescent="0.55000000000000004">
      <c r="L82">
        <v>76</v>
      </c>
      <c r="M82">
        <f t="shared" si="9"/>
        <v>0.9550441666912971</v>
      </c>
      <c r="N82">
        <f t="shared" si="10"/>
        <v>296.11900183705103</v>
      </c>
      <c r="O82">
        <f t="shared" si="11"/>
        <v>591.55388907620306</v>
      </c>
      <c r="P82">
        <f t="shared" si="12"/>
        <v>625</v>
      </c>
      <c r="Q82">
        <f t="shared" si="13"/>
        <v>38.893095671510309</v>
      </c>
      <c r="R82">
        <f t="shared" si="14"/>
        <v>123.14354048705823</v>
      </c>
      <c r="S82">
        <f t="shared" si="15"/>
        <v>246.00258625016585</v>
      </c>
      <c r="T82">
        <f t="shared" si="16"/>
        <v>259.91142860451657</v>
      </c>
      <c r="U82">
        <f t="shared" si="17"/>
        <v>25.081019822601725</v>
      </c>
    </row>
    <row r="83" spans="12:21" x14ac:dyDescent="0.55000000000000004">
      <c r="L83">
        <v>77</v>
      </c>
      <c r="M83">
        <f t="shared" si="9"/>
        <v>0.96761053730565627</v>
      </c>
      <c r="N83">
        <f t="shared" si="10"/>
        <v>285.64786409001937</v>
      </c>
      <c r="O83">
        <f t="shared" si="11"/>
        <v>602.02502682323473</v>
      </c>
      <c r="P83">
        <f t="shared" si="12"/>
        <v>625</v>
      </c>
      <c r="Q83">
        <f t="shared" si="13"/>
        <v>38.893095671510309</v>
      </c>
      <c r="R83">
        <f t="shared" si="14"/>
        <v>118.78903109354515</v>
      </c>
      <c r="S83">
        <f t="shared" si="15"/>
        <v>250.35709564367895</v>
      </c>
      <c r="T83">
        <f t="shared" si="16"/>
        <v>259.91142860451657</v>
      </c>
      <c r="U83">
        <f t="shared" si="17"/>
        <v>25.081019822601725</v>
      </c>
    </row>
    <row r="84" spans="12:21" x14ac:dyDescent="0.55000000000000004">
      <c r="L84">
        <v>78</v>
      </c>
      <c r="M84">
        <f t="shared" si="9"/>
        <v>0.98017690792001544</v>
      </c>
      <c r="N84">
        <f t="shared" si="10"/>
        <v>275.27664164149803</v>
      </c>
      <c r="O84">
        <f t="shared" si="11"/>
        <v>612.39624927175589</v>
      </c>
      <c r="P84">
        <f t="shared" si="12"/>
        <v>625</v>
      </c>
      <c r="Q84">
        <f t="shared" si="13"/>
        <v>38.893095671510309</v>
      </c>
      <c r="R84">
        <f t="shared" si="14"/>
        <v>114.4760723047925</v>
      </c>
      <c r="S84">
        <f t="shared" si="15"/>
        <v>254.67005443243153</v>
      </c>
      <c r="T84">
        <f t="shared" si="16"/>
        <v>259.91142860451657</v>
      </c>
      <c r="U84">
        <f t="shared" si="17"/>
        <v>25.081019822601721</v>
      </c>
    </row>
    <row r="85" spans="12:21" x14ac:dyDescent="0.55000000000000004">
      <c r="L85">
        <v>79</v>
      </c>
      <c r="M85">
        <f t="shared" si="9"/>
        <v>0.99274327853437472</v>
      </c>
      <c r="N85">
        <f t="shared" si="10"/>
        <v>265.01188517787591</v>
      </c>
      <c r="O85">
        <f t="shared" si="11"/>
        <v>622.66100573537813</v>
      </c>
      <c r="P85">
        <f t="shared" si="12"/>
        <v>625</v>
      </c>
      <c r="Q85">
        <f t="shared" si="13"/>
        <v>38.893095671510309</v>
      </c>
      <c r="R85">
        <f t="shared" si="14"/>
        <v>110.20738827801253</v>
      </c>
      <c r="S85">
        <f t="shared" si="15"/>
        <v>258.93873845921155</v>
      </c>
      <c r="T85">
        <f t="shared" si="16"/>
        <v>259.91142860451657</v>
      </c>
      <c r="U85">
        <f t="shared" si="17"/>
        <v>25.081019822601725</v>
      </c>
    </row>
    <row r="86" spans="12:21" x14ac:dyDescent="0.55000000000000004">
      <c r="L86">
        <v>80</v>
      </c>
      <c r="M86">
        <f t="shared" si="9"/>
        <v>1.0053096491487339</v>
      </c>
      <c r="N86">
        <f t="shared" si="10"/>
        <v>254.8600781393443</v>
      </c>
      <c r="O86">
        <f t="shared" si="11"/>
        <v>632.81281277390963</v>
      </c>
      <c r="P86">
        <f t="shared" si="12"/>
        <v>625</v>
      </c>
      <c r="Q86">
        <f t="shared" si="13"/>
        <v>38.893095671510309</v>
      </c>
      <c r="R86">
        <f t="shared" si="14"/>
        <v>105.98567520552912</v>
      </c>
      <c r="S86">
        <f t="shared" si="15"/>
        <v>263.16045153169489</v>
      </c>
      <c r="T86">
        <f t="shared" si="16"/>
        <v>259.91142860451657</v>
      </c>
      <c r="U86">
        <f t="shared" si="17"/>
        <v>25.081019822601721</v>
      </c>
    </row>
    <row r="87" spans="12:21" x14ac:dyDescent="0.55000000000000004">
      <c r="L87">
        <v>81</v>
      </c>
      <c r="M87">
        <f t="shared" si="9"/>
        <v>1.0178760197630929</v>
      </c>
      <c r="N87">
        <f t="shared" si="10"/>
        <v>244.8276326248164</v>
      </c>
      <c r="O87">
        <f t="shared" si="11"/>
        <v>642.84525828843766</v>
      </c>
      <c r="P87">
        <f t="shared" si="12"/>
        <v>625</v>
      </c>
      <c r="Q87">
        <f t="shared" si="13"/>
        <v>38.893095671510309</v>
      </c>
      <c r="R87">
        <f t="shared" si="14"/>
        <v>101.81359961180443</v>
      </c>
      <c r="S87">
        <f t="shared" si="15"/>
        <v>267.33252712541963</v>
      </c>
      <c r="T87">
        <f t="shared" si="16"/>
        <v>259.91142860451657</v>
      </c>
      <c r="U87">
        <f t="shared" si="17"/>
        <v>25.081019822601725</v>
      </c>
    </row>
    <row r="88" spans="12:21" x14ac:dyDescent="0.55000000000000004">
      <c r="L88">
        <v>82</v>
      </c>
      <c r="M88">
        <f t="shared" si="9"/>
        <v>1.030442390377452</v>
      </c>
      <c r="N88">
        <f t="shared" si="10"/>
        <v>234.92088534190873</v>
      </c>
      <c r="O88">
        <f t="shared" si="11"/>
        <v>652.75200557134542</v>
      </c>
      <c r="P88">
        <f t="shared" si="12"/>
        <v>625</v>
      </c>
      <c r="Q88">
        <f t="shared" si="13"/>
        <v>38.893095671510309</v>
      </c>
      <c r="R88">
        <f t="shared" si="14"/>
        <v>97.693796669205327</v>
      </c>
      <c r="S88">
        <f t="shared" si="15"/>
        <v>271.4523300680188</v>
      </c>
      <c r="T88">
        <f t="shared" si="16"/>
        <v>259.91142860451657</v>
      </c>
      <c r="U88">
        <f t="shared" si="17"/>
        <v>25.081019822601725</v>
      </c>
    </row>
    <row r="89" spans="12:21" x14ac:dyDescent="0.55000000000000004">
      <c r="L89">
        <v>83</v>
      </c>
      <c r="M89">
        <f t="shared" si="9"/>
        <v>1.0430087609918115</v>
      </c>
      <c r="N89">
        <f t="shared" si="10"/>
        <v>225.14609360453974</v>
      </c>
      <c r="O89">
        <f t="shared" si="11"/>
        <v>662.52679730871421</v>
      </c>
      <c r="P89">
        <f t="shared" si="12"/>
        <v>625</v>
      </c>
      <c r="Q89">
        <f t="shared" si="13"/>
        <v>38.893095671510309</v>
      </c>
      <c r="R89">
        <f t="shared" si="14"/>
        <v>93.628868533571406</v>
      </c>
      <c r="S89">
        <f t="shared" si="15"/>
        <v>275.5172582036526</v>
      </c>
      <c r="T89">
        <f t="shared" si="16"/>
        <v>259.91142860451657</v>
      </c>
      <c r="U89">
        <f t="shared" si="17"/>
        <v>25.081019822601721</v>
      </c>
    </row>
    <row r="90" spans="12:21" x14ac:dyDescent="0.55000000000000004">
      <c r="L90">
        <v>84</v>
      </c>
      <c r="M90">
        <f t="shared" si="9"/>
        <v>1.0555751316061706</v>
      </c>
      <c r="N90">
        <f t="shared" si="10"/>
        <v>215.50943138067879</v>
      </c>
      <c r="O90">
        <f t="shared" si="11"/>
        <v>672.1634595325753</v>
      </c>
      <c r="P90">
        <f t="shared" si="12"/>
        <v>625</v>
      </c>
      <c r="Q90">
        <f t="shared" si="13"/>
        <v>38.893095671510309</v>
      </c>
      <c r="R90">
        <f t="shared" si="14"/>
        <v>89.621382700638804</v>
      </c>
      <c r="S90">
        <f t="shared" si="15"/>
        <v>279.52474403658528</v>
      </c>
      <c r="T90">
        <f t="shared" si="16"/>
        <v>259.91142860451657</v>
      </c>
      <c r="U90">
        <f t="shared" si="17"/>
        <v>25.081019822601725</v>
      </c>
    </row>
    <row r="91" spans="12:21" x14ac:dyDescent="0.55000000000000004">
      <c r="L91">
        <v>85</v>
      </c>
      <c r="M91">
        <f t="shared" si="9"/>
        <v>1.0681415022205296</v>
      </c>
      <c r="N91">
        <f t="shared" si="10"/>
        <v>206.01698539273235</v>
      </c>
      <c r="O91">
        <f t="shared" si="11"/>
        <v>681.65590552052174</v>
      </c>
      <c r="P91">
        <f t="shared" si="12"/>
        <v>625</v>
      </c>
      <c r="Q91">
        <f t="shared" si="13"/>
        <v>38.893095671510309</v>
      </c>
      <c r="R91">
        <f t="shared" si="14"/>
        <v>85.673870384353407</v>
      </c>
      <c r="S91">
        <f t="shared" si="15"/>
        <v>283.47225635287066</v>
      </c>
      <c r="T91">
        <f t="shared" si="16"/>
        <v>259.91142860451657</v>
      </c>
      <c r="U91">
        <f t="shared" si="17"/>
        <v>25.081019822601725</v>
      </c>
    </row>
    <row r="92" spans="12:21" x14ac:dyDescent="0.55000000000000004">
      <c r="L92">
        <v>86</v>
      </c>
      <c r="M92">
        <f t="shared" si="9"/>
        <v>1.0807078728348889</v>
      </c>
      <c r="N92">
        <f t="shared" si="10"/>
        <v>196.67475127304178</v>
      </c>
      <c r="O92">
        <f t="shared" si="11"/>
        <v>690.99813964021223</v>
      </c>
      <c r="P92">
        <f t="shared" si="12"/>
        <v>625</v>
      </c>
      <c r="Q92">
        <f t="shared" si="13"/>
        <v>38.893095671510309</v>
      </c>
      <c r="R92">
        <f t="shared" si="14"/>
        <v>81.788824918102804</v>
      </c>
      <c r="S92">
        <f t="shared" si="15"/>
        <v>287.35730181912123</v>
      </c>
      <c r="T92">
        <f t="shared" si="16"/>
        <v>259.91142860451657</v>
      </c>
      <c r="U92">
        <f t="shared" si="17"/>
        <v>25.081019822601725</v>
      </c>
    </row>
    <row r="93" spans="12:21" x14ac:dyDescent="0.55000000000000004">
      <c r="L93">
        <v>87</v>
      </c>
      <c r="M93">
        <f t="shared" si="9"/>
        <v>1.093274243449248</v>
      </c>
      <c r="N93">
        <f t="shared" si="10"/>
        <v>187.4886297769132</v>
      </c>
      <c r="O93">
        <f t="shared" si="11"/>
        <v>700.18426113634087</v>
      </c>
      <c r="P93">
        <f t="shared" si="12"/>
        <v>625</v>
      </c>
      <c r="Q93">
        <f t="shared" si="13"/>
        <v>38.893095671510309</v>
      </c>
      <c r="R93">
        <f t="shared" si="14"/>
        <v>77.968700179873295</v>
      </c>
      <c r="S93">
        <f t="shared" si="15"/>
        <v>291.17742655735077</v>
      </c>
      <c r="T93">
        <f t="shared" si="16"/>
        <v>259.91142860451657</v>
      </c>
      <c r="U93">
        <f t="shared" si="17"/>
        <v>25.081019822601725</v>
      </c>
    </row>
    <row r="94" spans="12:21" x14ac:dyDescent="0.55000000000000004">
      <c r="L94">
        <v>88</v>
      </c>
      <c r="M94">
        <f t="shared" si="9"/>
        <v>1.105840614063607</v>
      </c>
      <c r="N94">
        <f t="shared" si="10"/>
        <v>178.46442305557318</v>
      </c>
      <c r="O94">
        <f t="shared" si="11"/>
        <v>709.20846785768083</v>
      </c>
      <c r="P94">
        <f t="shared" si="12"/>
        <v>625</v>
      </c>
      <c r="Q94">
        <f t="shared" si="13"/>
        <v>38.893095671510309</v>
      </c>
      <c r="R94">
        <f t="shared" si="14"/>
        <v>74.215909042327752</v>
      </c>
      <c r="S94">
        <f t="shared" si="15"/>
        <v>294.93021769489627</v>
      </c>
      <c r="T94">
        <f t="shared" si="16"/>
        <v>259.91142860451657</v>
      </c>
      <c r="U94">
        <f t="shared" si="17"/>
        <v>25.081019822601721</v>
      </c>
    </row>
    <row r="95" spans="12:21" x14ac:dyDescent="0.55000000000000004">
      <c r="L95">
        <v>89</v>
      </c>
      <c r="M95">
        <f t="shared" si="9"/>
        <v>1.1184069846779665</v>
      </c>
      <c r="N95">
        <f t="shared" si="10"/>
        <v>169.6078309914061</v>
      </c>
      <c r="O95">
        <f t="shared" si="11"/>
        <v>718.06505992184793</v>
      </c>
      <c r="P95">
        <f t="shared" si="12"/>
        <v>625</v>
      </c>
      <c r="Q95">
        <f t="shared" si="13"/>
        <v>38.893095671510309</v>
      </c>
      <c r="R95">
        <f t="shared" si="14"/>
        <v>70.532821848783612</v>
      </c>
      <c r="S95">
        <f t="shared" si="15"/>
        <v>298.61330488844044</v>
      </c>
      <c r="T95">
        <f t="shared" si="16"/>
        <v>259.91142860451657</v>
      </c>
      <c r="U95">
        <f t="shared" si="17"/>
        <v>25.081019822601725</v>
      </c>
    </row>
    <row r="96" spans="12:21" x14ac:dyDescent="0.55000000000000004">
      <c r="L96">
        <v>90</v>
      </c>
      <c r="M96">
        <f t="shared" si="9"/>
        <v>1.1309733552923256</v>
      </c>
      <c r="N96">
        <f t="shared" si="10"/>
        <v>160.92444759778712</v>
      </c>
      <c r="O96">
        <f t="shared" si="11"/>
        <v>726.74844331546706</v>
      </c>
      <c r="P96">
        <f t="shared" si="12"/>
        <v>625</v>
      </c>
      <c r="Q96">
        <f t="shared" si="13"/>
        <v>38.893095671510309</v>
      </c>
      <c r="R96">
        <f t="shared" si="14"/>
        <v>66.921764916053618</v>
      </c>
      <c r="S96">
        <f t="shared" si="15"/>
        <v>302.22436182117048</v>
      </c>
      <c r="T96">
        <f t="shared" si="16"/>
        <v>259.91142860451657</v>
      </c>
      <c r="U96">
        <f t="shared" si="17"/>
        <v>25.081019822601725</v>
      </c>
    </row>
    <row r="97" spans="12:21" x14ac:dyDescent="0.55000000000000004">
      <c r="L97">
        <v>91</v>
      </c>
      <c r="M97">
        <f t="shared" si="9"/>
        <v>1.1435397259066846</v>
      </c>
      <c r="N97">
        <f t="shared" si="10"/>
        <v>152.41975748578182</v>
      </c>
      <c r="O97">
        <f t="shared" si="11"/>
        <v>735.25313342747233</v>
      </c>
      <c r="P97">
        <f t="shared" si="12"/>
        <v>625</v>
      </c>
      <c r="Q97">
        <f t="shared" si="13"/>
        <v>38.893095671510309</v>
      </c>
      <c r="R97">
        <f t="shared" si="14"/>
        <v>63.385019065093616</v>
      </c>
      <c r="S97">
        <f t="shared" si="15"/>
        <v>305.76110767213049</v>
      </c>
      <c r="T97">
        <f t="shared" si="16"/>
        <v>259.91142860451657</v>
      </c>
      <c r="U97">
        <f t="shared" si="17"/>
        <v>25.081019822601725</v>
      </c>
    </row>
    <row r="98" spans="12:21" x14ac:dyDescent="0.55000000000000004">
      <c r="L98">
        <v>92</v>
      </c>
      <c r="M98">
        <f t="shared" si="9"/>
        <v>1.1561060965210439</v>
      </c>
      <c r="N98">
        <f t="shared" si="10"/>
        <v>144.09913239994924</v>
      </c>
      <c r="O98">
        <f t="shared" si="11"/>
        <v>743.57375851330482</v>
      </c>
      <c r="P98">
        <f t="shared" si="12"/>
        <v>625</v>
      </c>
      <c r="Q98">
        <f t="shared" si="13"/>
        <v>38.893095671510309</v>
      </c>
      <c r="R98">
        <f t="shared" si="14"/>
        <v>59.92481818038749</v>
      </c>
      <c r="S98">
        <f t="shared" si="15"/>
        <v>309.22130855683656</v>
      </c>
      <c r="T98">
        <f t="shared" si="16"/>
        <v>259.91142860451657</v>
      </c>
      <c r="U98">
        <f t="shared" si="17"/>
        <v>25.081019822601725</v>
      </c>
    </row>
    <row r="99" spans="12:21" x14ac:dyDescent="0.55000000000000004">
      <c r="L99">
        <v>93</v>
      </c>
      <c r="M99">
        <f t="shared" si="9"/>
        <v>1.168672467135403</v>
      </c>
      <c r="N99">
        <f t="shared" si="10"/>
        <v>135.96782782543306</v>
      </c>
      <c r="O99">
        <f t="shared" si="11"/>
        <v>751.70506308782092</v>
      </c>
      <c r="P99">
        <f t="shared" si="12"/>
        <v>625</v>
      </c>
      <c r="Q99">
        <f t="shared" si="13"/>
        <v>38.893095671510309</v>
      </c>
      <c r="R99">
        <f t="shared" si="14"/>
        <v>56.543347798977997</v>
      </c>
      <c r="S99">
        <f t="shared" si="15"/>
        <v>312.60277893824605</v>
      </c>
      <c r="T99">
        <f t="shared" si="16"/>
        <v>259.91142860451657</v>
      </c>
      <c r="U99">
        <f t="shared" si="17"/>
        <v>25.081019822601725</v>
      </c>
    </row>
    <row r="100" spans="12:21" x14ac:dyDescent="0.55000000000000004">
      <c r="L100">
        <v>94</v>
      </c>
      <c r="M100">
        <f t="shared" si="9"/>
        <v>1.1812388377497622</v>
      </c>
      <c r="N100">
        <f t="shared" si="10"/>
        <v>128.03097966848387</v>
      </c>
      <c r="O100">
        <f t="shared" si="11"/>
        <v>759.6419112447702</v>
      </c>
      <c r="P100">
        <f t="shared" si="12"/>
        <v>625</v>
      </c>
      <c r="Q100">
        <f t="shared" si="13"/>
        <v>38.893095671510309</v>
      </c>
      <c r="R100">
        <f t="shared" si="14"/>
        <v>53.242743730034327</v>
      </c>
      <c r="S100">
        <f t="shared" si="15"/>
        <v>315.90338300718975</v>
      </c>
      <c r="T100">
        <f t="shared" si="16"/>
        <v>259.91142860451657</v>
      </c>
      <c r="U100">
        <f t="shared" si="17"/>
        <v>25.081019822601725</v>
      </c>
    </row>
    <row r="101" spans="12:21" x14ac:dyDescent="0.55000000000000004">
      <c r="L101">
        <v>95</v>
      </c>
      <c r="M101">
        <f t="shared" si="9"/>
        <v>1.1938052083641215</v>
      </c>
      <c r="N101">
        <f t="shared" si="10"/>
        <v>120.29360101251137</v>
      </c>
      <c r="O101">
        <f t="shared" si="11"/>
        <v>767.37928990074272</v>
      </c>
      <c r="P101">
        <f t="shared" si="12"/>
        <v>625</v>
      </c>
      <c r="Q101">
        <f t="shared" si="13"/>
        <v>38.893095671510309</v>
      </c>
      <c r="R101">
        <f t="shared" si="14"/>
        <v>50.025090705829683</v>
      </c>
      <c r="S101">
        <f t="shared" si="15"/>
        <v>319.1210360313944</v>
      </c>
      <c r="T101">
        <f t="shared" si="16"/>
        <v>259.91142860451657</v>
      </c>
      <c r="U101">
        <f t="shared" si="17"/>
        <v>25.081019822601725</v>
      </c>
    </row>
    <row r="102" spans="12:21" x14ac:dyDescent="0.55000000000000004">
      <c r="L102">
        <v>96</v>
      </c>
      <c r="M102">
        <f t="shared" si="9"/>
        <v>1.2063715789784806</v>
      </c>
      <c r="N102">
        <f t="shared" si="10"/>
        <v>112.76057895171316</v>
      </c>
      <c r="O102">
        <f t="shared" si="11"/>
        <v>774.91231196154081</v>
      </c>
      <c r="P102">
        <f t="shared" si="12"/>
        <v>625</v>
      </c>
      <c r="Q102">
        <f t="shared" si="13"/>
        <v>38.893095671510309</v>
      </c>
      <c r="R102">
        <f t="shared" si="14"/>
        <v>46.89242106497943</v>
      </c>
      <c r="S102">
        <f t="shared" si="15"/>
        <v>322.25370567224462</v>
      </c>
      <c r="T102">
        <f t="shared" si="16"/>
        <v>259.91142860451657</v>
      </c>
      <c r="U102">
        <f t="shared" si="17"/>
        <v>25.081019822601725</v>
      </c>
    </row>
    <row r="103" spans="12:21" x14ac:dyDescent="0.55000000000000004">
      <c r="L103">
        <v>97</v>
      </c>
      <c r="M103">
        <f t="shared" si="9"/>
        <v>1.2189379495928396</v>
      </c>
      <c r="N103">
        <f t="shared" si="10"/>
        <v>105.43667150428085</v>
      </c>
      <c r="O103">
        <f t="shared" si="11"/>
        <v>782.23621940897328</v>
      </c>
      <c r="P103">
        <f t="shared" si="12"/>
        <v>625</v>
      </c>
      <c r="Q103">
        <f t="shared" si="13"/>
        <v>38.893095671510309</v>
      </c>
      <c r="R103">
        <f t="shared" si="14"/>
        <v>43.846713468772414</v>
      </c>
      <c r="S103">
        <f t="shared" si="15"/>
        <v>325.29941326845164</v>
      </c>
      <c r="T103">
        <f t="shared" si="16"/>
        <v>259.91142860451657</v>
      </c>
      <c r="U103">
        <f t="shared" si="17"/>
        <v>25.081019822601725</v>
      </c>
    </row>
    <row r="104" spans="12:21" x14ac:dyDescent="0.55000000000000004">
      <c r="L104">
        <v>98</v>
      </c>
      <c r="M104">
        <f t="shared" si="9"/>
        <v>1.2315043202071989</v>
      </c>
      <c r="N104">
        <f t="shared" si="10"/>
        <v>98.326504607134524</v>
      </c>
      <c r="O104">
        <f t="shared" si="11"/>
        <v>789.34638630611937</v>
      </c>
      <c r="P104">
        <f t="shared" si="12"/>
        <v>625</v>
      </c>
      <c r="Q104">
        <f t="shared" si="13"/>
        <v>38.893095671510309</v>
      </c>
      <c r="R104">
        <f t="shared" si="14"/>
        <v>40.889891651406259</v>
      </c>
      <c r="S104">
        <f t="shared" si="15"/>
        <v>328.25623508581776</v>
      </c>
      <c r="T104">
        <f t="shared" si="16"/>
        <v>259.91142860451657</v>
      </c>
      <c r="U104">
        <f t="shared" si="17"/>
        <v>25.081019822601721</v>
      </c>
    </row>
    <row r="105" spans="12:21" x14ac:dyDescent="0.55000000000000004">
      <c r="L105">
        <v>99</v>
      </c>
      <c r="M105">
        <f t="shared" si="9"/>
        <v>1.2440706908215582</v>
      </c>
      <c r="N105">
        <f t="shared" si="10"/>
        <v>91.434569194081476</v>
      </c>
      <c r="O105">
        <f t="shared" si="11"/>
        <v>796.23832171917263</v>
      </c>
      <c r="P105">
        <f t="shared" si="12"/>
        <v>625</v>
      </c>
      <c r="Q105">
        <f t="shared" si="13"/>
        <v>38.893095671510309</v>
      </c>
      <c r="R105">
        <f t="shared" si="14"/>
        <v>38.02382320491558</v>
      </c>
      <c r="S105">
        <f t="shared" si="15"/>
        <v>331.12230353230854</v>
      </c>
      <c r="T105">
        <f t="shared" si="16"/>
        <v>259.91142860451657</v>
      </c>
      <c r="U105">
        <f t="shared" si="17"/>
        <v>25.081019822601725</v>
      </c>
    </row>
    <row r="106" spans="12:21" x14ac:dyDescent="0.55000000000000004">
      <c r="L106">
        <v>100</v>
      </c>
      <c r="M106">
        <f t="shared" si="9"/>
        <v>1.2566370614359172</v>
      </c>
      <c r="N106">
        <f t="shared" si="10"/>
        <v>84.765218359246347</v>
      </c>
      <c r="O106">
        <f t="shared" si="11"/>
        <v>802.9076725540076</v>
      </c>
      <c r="P106">
        <f t="shared" si="12"/>
        <v>625</v>
      </c>
      <c r="Q106">
        <f t="shared" si="13"/>
        <v>38.893095671510309</v>
      </c>
      <c r="R106">
        <f t="shared" si="14"/>
        <v>35.250318399560818</v>
      </c>
      <c r="S106">
        <f t="shared" si="15"/>
        <v>333.8958083376632</v>
      </c>
      <c r="T106">
        <f t="shared" si="16"/>
        <v>259.91142860451657</v>
      </c>
      <c r="U106">
        <f t="shared" si="17"/>
        <v>25.081019822601721</v>
      </c>
    </row>
    <row r="107" spans="12:21" x14ac:dyDescent="0.55000000000000004">
      <c r="L107">
        <v>101</v>
      </c>
      <c r="M107">
        <f t="shared" si="9"/>
        <v>1.2692034320502765</v>
      </c>
      <c r="N107">
        <f t="shared" si="10"/>
        <v>78.322664607563098</v>
      </c>
      <c r="O107">
        <f t="shared" si="11"/>
        <v>809.35022630569085</v>
      </c>
      <c r="P107">
        <f t="shared" si="12"/>
        <v>625</v>
      </c>
      <c r="Q107">
        <f t="shared" si="13"/>
        <v>38.893095671510309</v>
      </c>
      <c r="R107">
        <f t="shared" si="14"/>
        <v>32.571129040422612</v>
      </c>
      <c r="S107">
        <f t="shared" si="15"/>
        <v>336.5749976968014</v>
      </c>
      <c r="T107">
        <f t="shared" si="16"/>
        <v>259.91142860451657</v>
      </c>
      <c r="U107">
        <f t="shared" si="17"/>
        <v>25.081019822601721</v>
      </c>
    </row>
    <row r="108" spans="12:21" x14ac:dyDescent="0.55000000000000004">
      <c r="L108">
        <v>102</v>
      </c>
      <c r="M108">
        <f t="shared" si="9"/>
        <v>1.2817698026646356</v>
      </c>
      <c r="N108">
        <f t="shared" si="10"/>
        <v>72.110977194067274</v>
      </c>
      <c r="O108">
        <f t="shared" si="11"/>
        <v>815.56191371918669</v>
      </c>
      <c r="P108">
        <f t="shared" si="12"/>
        <v>625</v>
      </c>
      <c r="Q108">
        <f t="shared" si="13"/>
        <v>38.893095671510309</v>
      </c>
      <c r="R108">
        <f t="shared" si="14"/>
        <v>29.98794736092438</v>
      </c>
      <c r="S108">
        <f t="shared" si="15"/>
        <v>339.15817937629964</v>
      </c>
      <c r="T108">
        <f t="shared" si="16"/>
        <v>259.91142860451657</v>
      </c>
      <c r="U108">
        <f t="shared" si="17"/>
        <v>25.081019822601721</v>
      </c>
    </row>
    <row r="109" spans="12:21" x14ac:dyDescent="0.55000000000000004">
      <c r="L109">
        <v>103</v>
      </c>
      <c r="M109">
        <f t="shared" si="9"/>
        <v>1.2943361732789946</v>
      </c>
      <c r="N109">
        <f t="shared" si="10"/>
        <v>66.134079553666766</v>
      </c>
      <c r="O109">
        <f t="shared" si="11"/>
        <v>821.53881135958716</v>
      </c>
      <c r="P109">
        <f t="shared" si="12"/>
        <v>625</v>
      </c>
      <c r="Q109">
        <f t="shared" si="13"/>
        <v>38.893095671510309</v>
      </c>
      <c r="R109">
        <f t="shared" si="14"/>
        <v>27.502404953981241</v>
      </c>
      <c r="S109">
        <f t="shared" si="15"/>
        <v>341.64372178324277</v>
      </c>
      <c r="T109">
        <f t="shared" si="16"/>
        <v>259.91142860451657</v>
      </c>
      <c r="U109">
        <f t="shared" si="17"/>
        <v>25.081019822601721</v>
      </c>
    </row>
    <row r="110" spans="12:21" x14ac:dyDescent="0.55000000000000004">
      <c r="L110">
        <v>104</v>
      </c>
      <c r="M110">
        <f t="shared" si="9"/>
        <v>1.3069025438933541</v>
      </c>
      <c r="N110">
        <f t="shared" si="10"/>
        <v>60.39574682301626</v>
      </c>
      <c r="O110">
        <f t="shared" si="11"/>
        <v>827.2771440902377</v>
      </c>
      <c r="P110">
        <f t="shared" si="12"/>
        <v>625</v>
      </c>
      <c r="Q110">
        <f t="shared" si="13"/>
        <v>38.893095671510309</v>
      </c>
      <c r="R110">
        <f t="shared" si="14"/>
        <v>25.116071741450956</v>
      </c>
      <c r="S110">
        <f t="shared" si="15"/>
        <v>344.03005499577307</v>
      </c>
      <c r="T110">
        <f t="shared" si="16"/>
        <v>259.91142860451657</v>
      </c>
      <c r="U110">
        <f t="shared" si="17"/>
        <v>25.081019822601725</v>
      </c>
    </row>
    <row r="111" spans="12:21" x14ac:dyDescent="0.55000000000000004">
      <c r="L111">
        <v>105</v>
      </c>
      <c r="M111">
        <f t="shared" si="9"/>
        <v>1.3194689145077132</v>
      </c>
      <c r="N111">
        <f t="shared" si="10"/>
        <v>54.899603456060831</v>
      </c>
      <c r="O111">
        <f t="shared" si="11"/>
        <v>832.77328745719308</v>
      </c>
      <c r="P111">
        <f t="shared" si="12"/>
        <v>625</v>
      </c>
      <c r="Q111">
        <f t="shared" si="13"/>
        <v>38.893095671510309</v>
      </c>
      <c r="R111">
        <f t="shared" si="14"/>
        <v>22.830454982537958</v>
      </c>
      <c r="S111">
        <f t="shared" si="15"/>
        <v>346.31567175468604</v>
      </c>
      <c r="T111">
        <f t="shared" si="16"/>
        <v>259.91142860451657</v>
      </c>
      <c r="U111">
        <f t="shared" si="17"/>
        <v>25.081019822601721</v>
      </c>
    </row>
    <row r="112" spans="12:21" x14ac:dyDescent="0.55000000000000004">
      <c r="L112">
        <v>106</v>
      </c>
      <c r="M112">
        <f t="shared" si="9"/>
        <v>1.3320352851220723</v>
      </c>
      <c r="N112">
        <f t="shared" si="10"/>
        <v>49.649120934751885</v>
      </c>
      <c r="O112">
        <f t="shared" si="11"/>
        <v>838.02376997850206</v>
      </c>
      <c r="P112">
        <f t="shared" si="12"/>
        <v>625</v>
      </c>
      <c r="Q112">
        <f t="shared" si="13"/>
        <v>38.893095671510309</v>
      </c>
      <c r="R112">
        <f t="shared" si="14"/>
        <v>20.646998321775634</v>
      </c>
      <c r="S112">
        <f t="shared" si="15"/>
        <v>348.49912841544835</v>
      </c>
      <c r="T112">
        <f t="shared" si="16"/>
        <v>259.91142860451657</v>
      </c>
      <c r="U112">
        <f t="shared" si="17"/>
        <v>25.081019822601721</v>
      </c>
    </row>
    <row r="113" spans="12:21" x14ac:dyDescent="0.55000000000000004">
      <c r="L113">
        <v>107</v>
      </c>
      <c r="M113">
        <f t="shared" si="9"/>
        <v>1.3446016557364315</v>
      </c>
      <c r="N113">
        <f t="shared" si="10"/>
        <v>44.647615576385469</v>
      </c>
      <c r="O113">
        <f t="shared" si="11"/>
        <v>843.0252753368685</v>
      </c>
      <c r="P113">
        <f t="shared" si="12"/>
        <v>625</v>
      </c>
      <c r="Q113">
        <f t="shared" si="13"/>
        <v>38.893095671510309</v>
      </c>
      <c r="R113">
        <f t="shared" si="14"/>
        <v>18.567080877189781</v>
      </c>
      <c r="S113">
        <f t="shared" si="15"/>
        <v>350.57904586003423</v>
      </c>
      <c r="T113">
        <f t="shared" si="16"/>
        <v>259.91142860451657</v>
      </c>
      <c r="U113">
        <f t="shared" si="17"/>
        <v>25.081019822601721</v>
      </c>
    </row>
    <row r="114" spans="12:21" x14ac:dyDescent="0.55000000000000004">
      <c r="L114">
        <v>108</v>
      </c>
      <c r="M114">
        <f t="shared" si="9"/>
        <v>1.3571680263507906</v>
      </c>
      <c r="N114">
        <f t="shared" si="10"/>
        <v>39.898246438945378</v>
      </c>
      <c r="O114">
        <f t="shared" si="11"/>
        <v>847.77464447430873</v>
      </c>
      <c r="P114">
        <f t="shared" si="12"/>
        <v>625</v>
      </c>
      <c r="Q114">
        <f t="shared" si="13"/>
        <v>38.893095671510309</v>
      </c>
      <c r="R114">
        <f t="shared" si="14"/>
        <v>16.592016369218175</v>
      </c>
      <c r="S114">
        <f t="shared" si="15"/>
        <v>352.55411036800587</v>
      </c>
      <c r="T114">
        <f t="shared" si="16"/>
        <v>259.91142860451657</v>
      </c>
      <c r="U114">
        <f t="shared" si="17"/>
        <v>25.081019822601725</v>
      </c>
    </row>
    <row r="115" spans="12:21" x14ac:dyDescent="0.55000000000000004">
      <c r="L115">
        <v>109</v>
      </c>
      <c r="M115">
        <f t="shared" si="9"/>
        <v>1.3697343969651496</v>
      </c>
      <c r="N115">
        <f t="shared" si="10"/>
        <v>35.40401332577386</v>
      </c>
      <c r="O115">
        <f t="shared" si="11"/>
        <v>852.26887758748023</v>
      </c>
      <c r="P115">
        <f t="shared" si="12"/>
        <v>625</v>
      </c>
      <c r="Q115">
        <f t="shared" si="13"/>
        <v>38.893095671510309</v>
      </c>
      <c r="R115">
        <f t="shared" si="14"/>
        <v>14.72305229093636</v>
      </c>
      <c r="S115">
        <f t="shared" si="15"/>
        <v>354.42307444628773</v>
      </c>
      <c r="T115">
        <f t="shared" si="16"/>
        <v>259.91142860451657</v>
      </c>
      <c r="U115">
        <f t="shared" si="17"/>
        <v>25.081019822601725</v>
      </c>
    </row>
    <row r="116" spans="12:21" x14ac:dyDescent="0.55000000000000004">
      <c r="L116">
        <v>110</v>
      </c>
      <c r="M116">
        <f t="shared" si="9"/>
        <v>1.3823007675795091</v>
      </c>
      <c r="N116">
        <f t="shared" si="10"/>
        <v>31.167754890831748</v>
      </c>
      <c r="O116">
        <f t="shared" si="11"/>
        <v>856.50513602242233</v>
      </c>
      <c r="P116">
        <f t="shared" si="12"/>
        <v>625</v>
      </c>
      <c r="Q116">
        <f t="shared" si="13"/>
        <v>38.893095671510309</v>
      </c>
      <c r="R116">
        <f t="shared" si="14"/>
        <v>12.96136912011438</v>
      </c>
      <c r="S116">
        <f t="shared" si="15"/>
        <v>356.18475761710971</v>
      </c>
      <c r="T116">
        <f t="shared" si="16"/>
        <v>259.91142860451657</v>
      </c>
      <c r="U116">
        <f t="shared" si="17"/>
        <v>25.081019822601725</v>
      </c>
    </row>
    <row r="117" spans="12:21" x14ac:dyDescent="0.55000000000000004">
      <c r="L117">
        <v>111</v>
      </c>
      <c r="M117">
        <f t="shared" si="9"/>
        <v>1.3948671381938682</v>
      </c>
      <c r="N117">
        <f t="shared" si="10"/>
        <v>27.192146845744258</v>
      </c>
      <c r="O117">
        <f t="shared" si="11"/>
        <v>860.4807440675097</v>
      </c>
      <c r="P117">
        <f t="shared" si="12"/>
        <v>625</v>
      </c>
      <c r="Q117">
        <f t="shared" si="13"/>
        <v>38.893095671510309</v>
      </c>
      <c r="R117">
        <f t="shared" si="14"/>
        <v>11.308079573601901</v>
      </c>
      <c r="S117">
        <f t="shared" si="15"/>
        <v>357.83804716362215</v>
      </c>
      <c r="T117">
        <f t="shared" si="16"/>
        <v>259.91142860451657</v>
      </c>
      <c r="U117">
        <f t="shared" si="17"/>
        <v>25.081019822601725</v>
      </c>
    </row>
    <row r="118" spans="12:21" x14ac:dyDescent="0.55000000000000004">
      <c r="L118">
        <v>112</v>
      </c>
      <c r="M118">
        <f t="shared" si="9"/>
        <v>1.4074335088082273</v>
      </c>
      <c r="N118">
        <f t="shared" si="10"/>
        <v>23.479700269763331</v>
      </c>
      <c r="O118">
        <f t="shared" si="11"/>
        <v>864.19319064349065</v>
      </c>
      <c r="P118">
        <f t="shared" si="12"/>
        <v>625</v>
      </c>
      <c r="Q118">
        <f t="shared" si="13"/>
        <v>38.893095671510309</v>
      </c>
      <c r="R118">
        <f t="shared" si="14"/>
        <v>9.7642279045120635</v>
      </c>
      <c r="S118">
        <f t="shared" si="15"/>
        <v>359.38189883271195</v>
      </c>
      <c r="T118">
        <f t="shared" si="16"/>
        <v>259.91142860451657</v>
      </c>
      <c r="U118">
        <f t="shared" si="17"/>
        <v>25.081019822601721</v>
      </c>
    </row>
    <row r="119" spans="12:21" x14ac:dyDescent="0.55000000000000004">
      <c r="L119">
        <v>113</v>
      </c>
      <c r="M119">
        <f t="shared" si="9"/>
        <v>1.4199998794225865</v>
      </c>
      <c r="N119">
        <f t="shared" si="10"/>
        <v>20.032760023716634</v>
      </c>
      <c r="O119">
        <f t="shared" si="11"/>
        <v>867.64013088953743</v>
      </c>
      <c r="P119">
        <f t="shared" si="12"/>
        <v>625</v>
      </c>
      <c r="Q119">
        <f t="shared" si="13"/>
        <v>38.893095671510309</v>
      </c>
      <c r="R119">
        <f t="shared" si="14"/>
        <v>8.3307892426490238</v>
      </c>
      <c r="S119">
        <f t="shared" si="15"/>
        <v>360.81533749457503</v>
      </c>
      <c r="T119">
        <f t="shared" si="16"/>
        <v>259.91142860451657</v>
      </c>
      <c r="U119">
        <f t="shared" si="17"/>
        <v>25.081019822601725</v>
      </c>
    </row>
    <row r="120" spans="12:21" x14ac:dyDescent="0.55000000000000004">
      <c r="L120">
        <v>114</v>
      </c>
      <c r="M120">
        <f t="shared" si="9"/>
        <v>1.4325662500369456</v>
      </c>
      <c r="N120">
        <f t="shared" si="10"/>
        <v>16.853503268943349</v>
      </c>
      <c r="O120">
        <f t="shared" si="11"/>
        <v>870.81938764431072</v>
      </c>
      <c r="P120">
        <f t="shared" si="12"/>
        <v>625</v>
      </c>
      <c r="Q120">
        <f t="shared" si="13"/>
        <v>38.893095671510309</v>
      </c>
      <c r="R120">
        <f t="shared" si="14"/>
        <v>7.0086689785951286</v>
      </c>
      <c r="S120">
        <f t="shared" si="15"/>
        <v>362.1374577586289</v>
      </c>
      <c r="T120">
        <f t="shared" si="16"/>
        <v>259.91142860451657</v>
      </c>
      <c r="U120">
        <f t="shared" si="17"/>
        <v>25.081019822601725</v>
      </c>
    </row>
    <row r="121" spans="12:21" x14ac:dyDescent="0.55000000000000004">
      <c r="L121">
        <v>115</v>
      </c>
      <c r="M121">
        <f t="shared" si="9"/>
        <v>1.4451326206513049</v>
      </c>
      <c r="N121">
        <f t="shared" si="10"/>
        <v>13.943938092151958</v>
      </c>
      <c r="O121">
        <f t="shared" si="11"/>
        <v>873.72895282110221</v>
      </c>
      <c r="P121">
        <f t="shared" si="12"/>
        <v>625</v>
      </c>
      <c r="Q121">
        <f t="shared" si="13"/>
        <v>38.893095671510309</v>
      </c>
      <c r="R121">
        <f t="shared" si="14"/>
        <v>5.7987021918466439</v>
      </c>
      <c r="S121">
        <f t="shared" si="15"/>
        <v>363.34742454537746</v>
      </c>
      <c r="T121">
        <f t="shared" si="16"/>
        <v>259.91142860451657</v>
      </c>
      <c r="U121">
        <f t="shared" si="17"/>
        <v>25.081019822601725</v>
      </c>
    </row>
    <row r="122" spans="12:21" x14ac:dyDescent="0.55000000000000004">
      <c r="L122">
        <v>116</v>
      </c>
      <c r="M122">
        <f t="shared" si="9"/>
        <v>1.4576989912656642</v>
      </c>
      <c r="N122">
        <f t="shared" si="10"/>
        <v>11.305902237070056</v>
      </c>
      <c r="O122">
        <f t="shared" si="11"/>
        <v>876.36698867618395</v>
      </c>
      <c r="P122">
        <f t="shared" si="12"/>
        <v>625</v>
      </c>
      <c r="Q122">
        <f t="shared" si="13"/>
        <v>38.893095671510309</v>
      </c>
      <c r="R122">
        <f t="shared" si="14"/>
        <v>4.7016531233598045</v>
      </c>
      <c r="S122">
        <f t="shared" si="15"/>
        <v>364.4444736138642</v>
      </c>
      <c r="T122">
        <f t="shared" si="16"/>
        <v>259.91142860451657</v>
      </c>
      <c r="U122">
        <f t="shared" si="17"/>
        <v>25.081019822601721</v>
      </c>
    </row>
    <row r="123" spans="12:21" x14ac:dyDescent="0.55000000000000004">
      <c r="L123">
        <v>117</v>
      </c>
      <c r="M123">
        <f t="shared" si="9"/>
        <v>1.4702653618800232</v>
      </c>
      <c r="N123">
        <f t="shared" si="10"/>
        <v>8.9410619436858276</v>
      </c>
      <c r="O123">
        <f t="shared" si="11"/>
        <v>878.73182896956826</v>
      </c>
      <c r="P123">
        <f t="shared" si="12"/>
        <v>625</v>
      </c>
      <c r="Q123">
        <f t="shared" si="13"/>
        <v>38.893095671510309</v>
      </c>
      <c r="R123">
        <f t="shared" si="14"/>
        <v>3.7182146928397746</v>
      </c>
      <c r="S123">
        <f t="shared" si="15"/>
        <v>365.4279120443843</v>
      </c>
      <c r="T123">
        <f t="shared" si="16"/>
        <v>259.91142860451657</v>
      </c>
      <c r="U123">
        <f t="shared" si="17"/>
        <v>25.081019822601725</v>
      </c>
    </row>
    <row r="124" spans="12:21" x14ac:dyDescent="0.55000000000000004">
      <c r="L124">
        <v>118</v>
      </c>
      <c r="M124">
        <f t="shared" si="9"/>
        <v>1.4828317324943823</v>
      </c>
      <c r="N124">
        <f t="shared" si="10"/>
        <v>6.8509108958150993</v>
      </c>
      <c r="O124">
        <f t="shared" si="11"/>
        <v>880.82198001743893</v>
      </c>
      <c r="P124">
        <f t="shared" si="12"/>
        <v>625</v>
      </c>
      <c r="Q124">
        <f t="shared" si="13"/>
        <v>38.893095671510309</v>
      </c>
      <c r="R124">
        <f t="shared" si="14"/>
        <v>2.8490080610776811</v>
      </c>
      <c r="S124">
        <f t="shared" si="15"/>
        <v>366.2971186761464</v>
      </c>
      <c r="T124">
        <f t="shared" si="16"/>
        <v>259.91142860451657</v>
      </c>
      <c r="U124">
        <f t="shared" si="17"/>
        <v>25.081019822601725</v>
      </c>
    </row>
    <row r="125" spans="12:21" x14ac:dyDescent="0.55000000000000004">
      <c r="L125">
        <v>119</v>
      </c>
      <c r="M125">
        <f t="shared" si="9"/>
        <v>1.4953981031087415</v>
      </c>
      <c r="N125">
        <f t="shared" si="10"/>
        <v>5.0367692776587134</v>
      </c>
      <c r="O125">
        <f t="shared" si="11"/>
        <v>882.63612163559526</v>
      </c>
      <c r="P125">
        <f t="shared" si="12"/>
        <v>625</v>
      </c>
      <c r="Q125">
        <f t="shared" si="13"/>
        <v>38.893095671510309</v>
      </c>
      <c r="R125">
        <f t="shared" si="14"/>
        <v>2.0945822376121841</v>
      </c>
      <c r="S125">
        <f t="shared" si="15"/>
        <v>367.05154449961185</v>
      </c>
      <c r="T125">
        <f t="shared" si="16"/>
        <v>259.91142860451657</v>
      </c>
      <c r="U125">
        <f t="shared" si="17"/>
        <v>25.081019822601725</v>
      </c>
    </row>
    <row r="126" spans="12:21" x14ac:dyDescent="0.55000000000000004">
      <c r="L126">
        <v>120</v>
      </c>
      <c r="M126">
        <f t="shared" si="9"/>
        <v>1.5079644737231006</v>
      </c>
      <c r="N126">
        <f t="shared" si="10"/>
        <v>3.4997829399459901</v>
      </c>
      <c r="O126">
        <f t="shared" si="11"/>
        <v>884.17310797330799</v>
      </c>
      <c r="P126">
        <f t="shared" si="12"/>
        <v>625</v>
      </c>
      <c r="Q126">
        <f t="shared" si="13"/>
        <v>38.893095671510309</v>
      </c>
      <c r="R126">
        <f t="shared" si="14"/>
        <v>1.4554137339633235</v>
      </c>
      <c r="S126">
        <f t="shared" si="15"/>
        <v>367.69071300326073</v>
      </c>
      <c r="T126">
        <f t="shared" si="16"/>
        <v>259.91142860451657</v>
      </c>
      <c r="U126">
        <f t="shared" si="17"/>
        <v>25.081019822601725</v>
      </c>
    </row>
    <row r="127" spans="12:21" x14ac:dyDescent="0.55000000000000004">
      <c r="L127">
        <v>121</v>
      </c>
      <c r="M127">
        <f t="shared" si="9"/>
        <v>1.5205308443374599</v>
      </c>
      <c r="N127">
        <f t="shared" si="10"/>
        <v>2.2409226761906127</v>
      </c>
      <c r="O127">
        <f t="shared" si="11"/>
        <v>885.43196823706342</v>
      </c>
      <c r="P127">
        <f t="shared" si="12"/>
        <v>625</v>
      </c>
      <c r="Q127">
        <f t="shared" si="13"/>
        <v>38.893095671510309</v>
      </c>
      <c r="R127">
        <f t="shared" si="14"/>
        <v>0.93190626265753373</v>
      </c>
      <c r="S127">
        <f t="shared" si="15"/>
        <v>368.2142204745665</v>
      </c>
      <c r="T127">
        <f t="shared" si="16"/>
        <v>259.91142860451657</v>
      </c>
      <c r="U127">
        <f t="shared" si="17"/>
        <v>25.081019822601725</v>
      </c>
    </row>
    <row r="128" spans="12:21" x14ac:dyDescent="0.55000000000000004">
      <c r="L128">
        <v>122</v>
      </c>
      <c r="M128">
        <f t="shared" si="9"/>
        <v>1.5330972149518192</v>
      </c>
      <c r="N128">
        <f t="shared" si="10"/>
        <v>1.2609836095168572</v>
      </c>
      <c r="O128">
        <f t="shared" si="11"/>
        <v>886.41190730373717</v>
      </c>
      <c r="P128">
        <f t="shared" si="12"/>
        <v>625</v>
      </c>
      <c r="Q128">
        <f t="shared" si="13"/>
        <v>38.893095671510309</v>
      </c>
      <c r="R128">
        <f t="shared" si="14"/>
        <v>0.52439048223425</v>
      </c>
      <c r="S128">
        <f t="shared" si="15"/>
        <v>368.6217362549898</v>
      </c>
      <c r="T128">
        <f t="shared" si="16"/>
        <v>259.91142860451657</v>
      </c>
      <c r="U128">
        <f t="shared" si="17"/>
        <v>25.081019822601725</v>
      </c>
    </row>
    <row r="129" spans="12:21" x14ac:dyDescent="0.55000000000000004">
      <c r="L129">
        <v>123</v>
      </c>
      <c r="M129">
        <f t="shared" si="9"/>
        <v>1.5456635855661782</v>
      </c>
      <c r="N129">
        <f t="shared" si="10"/>
        <v>0.56058469044267034</v>
      </c>
      <c r="O129">
        <f t="shared" si="11"/>
        <v>887.1123062228113</v>
      </c>
      <c r="P129">
        <f t="shared" si="12"/>
        <v>625</v>
      </c>
      <c r="Q129">
        <f t="shared" si="13"/>
        <v>38.893095671510309</v>
      </c>
      <c r="R129">
        <f t="shared" si="14"/>
        <v>0.23312378839484019</v>
      </c>
      <c r="S129">
        <f t="shared" si="15"/>
        <v>368.91300294882916</v>
      </c>
      <c r="T129">
        <f t="shared" si="16"/>
        <v>259.91142860451657</v>
      </c>
      <c r="U129">
        <f t="shared" si="17"/>
        <v>25.081019822601721</v>
      </c>
    </row>
    <row r="130" spans="12:21" x14ac:dyDescent="0.55000000000000004">
      <c r="L130">
        <v>124</v>
      </c>
      <c r="M130">
        <f t="shared" si="9"/>
        <v>1.5582299561805373</v>
      </c>
      <c r="N130">
        <f t="shared" si="10"/>
        <v>0.14016830593724905</v>
      </c>
      <c r="O130">
        <f t="shared" si="11"/>
        <v>887.53272260731683</v>
      </c>
      <c r="P130">
        <f t="shared" si="12"/>
        <v>625</v>
      </c>
      <c r="Q130">
        <f t="shared" si="13"/>
        <v>38.893095671510309</v>
      </c>
      <c r="R130">
        <f t="shared" si="14"/>
        <v>5.8290151425960543E-2</v>
      </c>
      <c r="S130">
        <f t="shared" si="15"/>
        <v>369.08783658579807</v>
      </c>
      <c r="T130">
        <f t="shared" si="16"/>
        <v>259.91142860451657</v>
      </c>
      <c r="U130">
        <f t="shared" si="17"/>
        <v>25.081019822601725</v>
      </c>
    </row>
    <row r="131" spans="12:21" x14ac:dyDescent="0.55000000000000004">
      <c r="L131">
        <v>125</v>
      </c>
      <c r="M131">
        <f t="shared" si="9"/>
        <v>1.5707963267948966</v>
      </c>
      <c r="N131">
        <f t="shared" si="10"/>
        <v>3.3309675275371688E-30</v>
      </c>
      <c r="O131">
        <f t="shared" si="11"/>
        <v>887.67289091325404</v>
      </c>
      <c r="P131">
        <f t="shared" si="12"/>
        <v>625</v>
      </c>
      <c r="Q131">
        <f t="shared" si="13"/>
        <v>38.893095671510309</v>
      </c>
      <c r="R131">
        <f t="shared" si="14"/>
        <v>1.3852104459479038E-30</v>
      </c>
      <c r="S131">
        <f t="shared" si="15"/>
        <v>369.14612673722405</v>
      </c>
      <c r="T131">
        <f t="shared" si="16"/>
        <v>259.91142860451657</v>
      </c>
      <c r="U131">
        <f t="shared" si="17"/>
        <v>25.081019822601725</v>
      </c>
    </row>
    <row r="132" spans="12:21" x14ac:dyDescent="0.55000000000000004">
      <c r="L132">
        <v>126</v>
      </c>
      <c r="M132">
        <f t="shared" si="9"/>
        <v>1.5833626974092558</v>
      </c>
      <c r="N132">
        <f t="shared" si="10"/>
        <v>0.1401683059372463</v>
      </c>
      <c r="O132">
        <f t="shared" si="11"/>
        <v>887.53272260731683</v>
      </c>
      <c r="P132">
        <f t="shared" si="12"/>
        <v>625</v>
      </c>
      <c r="Q132">
        <f t="shared" si="13"/>
        <v>38.893095671510309</v>
      </c>
      <c r="R132">
        <f t="shared" si="14"/>
        <v>5.8290151425959398E-2</v>
      </c>
      <c r="S132">
        <f t="shared" si="15"/>
        <v>369.08783658579807</v>
      </c>
      <c r="T132">
        <f t="shared" si="16"/>
        <v>259.91142860451657</v>
      </c>
      <c r="U132">
        <f t="shared" si="17"/>
        <v>25.081019822601725</v>
      </c>
    </row>
    <row r="133" spans="12:21" x14ac:dyDescent="0.55000000000000004">
      <c r="L133">
        <v>127</v>
      </c>
      <c r="M133">
        <f t="shared" si="9"/>
        <v>1.5959290680236149</v>
      </c>
      <c r="N133">
        <f t="shared" si="10"/>
        <v>0.56058469044266468</v>
      </c>
      <c r="O133">
        <f t="shared" si="11"/>
        <v>887.1123062228113</v>
      </c>
      <c r="P133">
        <f t="shared" si="12"/>
        <v>625</v>
      </c>
      <c r="Q133">
        <f t="shared" si="13"/>
        <v>38.893095671510309</v>
      </c>
      <c r="R133">
        <f t="shared" si="14"/>
        <v>0.23312378839483786</v>
      </c>
      <c r="S133">
        <f t="shared" si="15"/>
        <v>368.91300294882916</v>
      </c>
      <c r="T133">
        <f t="shared" si="16"/>
        <v>259.91142860451657</v>
      </c>
      <c r="U133">
        <f t="shared" si="17"/>
        <v>25.081019822601721</v>
      </c>
    </row>
    <row r="134" spans="12:21" x14ac:dyDescent="0.55000000000000004">
      <c r="L134">
        <v>128</v>
      </c>
      <c r="M134">
        <f t="shared" si="9"/>
        <v>1.6084954386379742</v>
      </c>
      <c r="N134">
        <f t="shared" si="10"/>
        <v>1.2609836095168643</v>
      </c>
      <c r="O134">
        <f t="shared" si="11"/>
        <v>886.41190730373717</v>
      </c>
      <c r="P134">
        <f t="shared" si="12"/>
        <v>625</v>
      </c>
      <c r="Q134">
        <f t="shared" si="13"/>
        <v>38.893095671510309</v>
      </c>
      <c r="R134">
        <f t="shared" si="14"/>
        <v>0.52439048223425277</v>
      </c>
      <c r="S134">
        <f t="shared" si="15"/>
        <v>368.6217362549898</v>
      </c>
      <c r="T134">
        <f t="shared" si="16"/>
        <v>259.91142860451657</v>
      </c>
      <c r="U134">
        <f t="shared" si="17"/>
        <v>25.081019822601725</v>
      </c>
    </row>
    <row r="135" spans="12:21" x14ac:dyDescent="0.55000000000000004">
      <c r="L135">
        <v>129</v>
      </c>
      <c r="M135">
        <f t="shared" ref="M135:M198" si="18">2*PI()*L135/500</f>
        <v>1.6210618092523332</v>
      </c>
      <c r="N135">
        <f t="shared" ref="N135:N198" si="19">$C$16^2*$C$3^2*COS(M135)^2</f>
        <v>2.2409226761906016</v>
      </c>
      <c r="O135">
        <f t="shared" ref="O135:O198" si="20">$C$16^2*$C$3^2*SIN(M135)^2</f>
        <v>885.43196823706342</v>
      </c>
      <c r="P135">
        <f t="shared" ref="P135:P198" si="21">($C$3^2-$C$15*$C$3*SIN(M135))^2</f>
        <v>625</v>
      </c>
      <c r="Q135">
        <f t="shared" ref="Q135:Q198" si="22">SQRT(N135+O135+P135)</f>
        <v>38.893095671510309</v>
      </c>
      <c r="R135">
        <f t="shared" ref="R135:R198" si="23">$C$45^2*$C$28^2*COS(M135)^2</f>
        <v>0.93190626265752907</v>
      </c>
      <c r="S135">
        <f t="shared" ref="S135:S198" si="24">$C$45^2*$C$27^2*SIN(M135)^2</f>
        <v>368.2142204745665</v>
      </c>
      <c r="T135">
        <f t="shared" ref="T135:T198" si="25">($C$27*$C$28-$C$44*$C$27*SIN(M135))^2</f>
        <v>259.91142860451657</v>
      </c>
      <c r="U135">
        <f t="shared" ref="U135:U198" si="26">SQRT(R135+S135+T135)</f>
        <v>25.081019822601725</v>
      </c>
    </row>
    <row r="136" spans="12:21" x14ac:dyDescent="0.55000000000000004">
      <c r="L136">
        <v>130</v>
      </c>
      <c r="M136">
        <f t="shared" si="18"/>
        <v>1.6336281798666923</v>
      </c>
      <c r="N136">
        <f t="shared" si="19"/>
        <v>3.4997829399459506</v>
      </c>
      <c r="O136">
        <f t="shared" si="20"/>
        <v>884.17310797330799</v>
      </c>
      <c r="P136">
        <f t="shared" si="21"/>
        <v>625</v>
      </c>
      <c r="Q136">
        <f t="shared" si="22"/>
        <v>38.893095671510309</v>
      </c>
      <c r="R136">
        <f t="shared" si="23"/>
        <v>1.4554137339633071</v>
      </c>
      <c r="S136">
        <f t="shared" si="24"/>
        <v>367.69071300326073</v>
      </c>
      <c r="T136">
        <f t="shared" si="25"/>
        <v>259.91142860451657</v>
      </c>
      <c r="U136">
        <f t="shared" si="26"/>
        <v>25.081019822601725</v>
      </c>
    </row>
    <row r="137" spans="12:21" x14ac:dyDescent="0.55000000000000004">
      <c r="L137">
        <v>131</v>
      </c>
      <c r="M137">
        <f t="shared" si="18"/>
        <v>1.6461945504810518</v>
      </c>
      <c r="N137">
        <f t="shared" si="19"/>
        <v>5.0367692776587267</v>
      </c>
      <c r="O137">
        <f t="shared" si="20"/>
        <v>882.63612163559526</v>
      </c>
      <c r="P137">
        <f t="shared" si="21"/>
        <v>625</v>
      </c>
      <c r="Q137">
        <f t="shared" si="22"/>
        <v>38.893095671510309</v>
      </c>
      <c r="R137">
        <f t="shared" si="23"/>
        <v>2.0945822376121894</v>
      </c>
      <c r="S137">
        <f t="shared" si="24"/>
        <v>367.05154449961185</v>
      </c>
      <c r="T137">
        <f t="shared" si="25"/>
        <v>259.91142860451657</v>
      </c>
      <c r="U137">
        <f t="shared" si="26"/>
        <v>25.081019822601725</v>
      </c>
    </row>
    <row r="138" spans="12:21" x14ac:dyDescent="0.55000000000000004">
      <c r="L138">
        <v>132</v>
      </c>
      <c r="M138">
        <f t="shared" si="18"/>
        <v>1.6587609210954108</v>
      </c>
      <c r="N138">
        <f t="shared" si="19"/>
        <v>6.8509108958150797</v>
      </c>
      <c r="O138">
        <f t="shared" si="20"/>
        <v>880.82198001743893</v>
      </c>
      <c r="P138">
        <f t="shared" si="21"/>
        <v>625</v>
      </c>
      <c r="Q138">
        <f t="shared" si="22"/>
        <v>38.893095671510309</v>
      </c>
      <c r="R138">
        <f t="shared" si="23"/>
        <v>2.8490080610776727</v>
      </c>
      <c r="S138">
        <f t="shared" si="24"/>
        <v>366.2971186761464</v>
      </c>
      <c r="T138">
        <f t="shared" si="25"/>
        <v>259.91142860451657</v>
      </c>
      <c r="U138">
        <f t="shared" si="26"/>
        <v>25.081019822601725</v>
      </c>
    </row>
    <row r="139" spans="12:21" x14ac:dyDescent="0.55000000000000004">
      <c r="L139">
        <v>133</v>
      </c>
      <c r="M139">
        <f t="shared" si="18"/>
        <v>1.6713272917097699</v>
      </c>
      <c r="N139">
        <f t="shared" si="19"/>
        <v>8.9410619436858045</v>
      </c>
      <c r="O139">
        <f t="shared" si="20"/>
        <v>878.73182896956826</v>
      </c>
      <c r="P139">
        <f t="shared" si="21"/>
        <v>625</v>
      </c>
      <c r="Q139">
        <f t="shared" si="22"/>
        <v>38.893095671510309</v>
      </c>
      <c r="R139">
        <f t="shared" si="23"/>
        <v>3.7182146928397648</v>
      </c>
      <c r="S139">
        <f t="shared" si="24"/>
        <v>365.4279120443843</v>
      </c>
      <c r="T139">
        <f t="shared" si="25"/>
        <v>259.91142860451657</v>
      </c>
      <c r="U139">
        <f t="shared" si="26"/>
        <v>25.081019822601725</v>
      </c>
    </row>
    <row r="140" spans="12:21" x14ac:dyDescent="0.55000000000000004">
      <c r="L140">
        <v>134</v>
      </c>
      <c r="M140">
        <f t="shared" si="18"/>
        <v>1.6838936623241292</v>
      </c>
      <c r="N140">
        <f t="shared" si="19"/>
        <v>11.305902237070073</v>
      </c>
      <c r="O140">
        <f t="shared" si="20"/>
        <v>876.36698867618395</v>
      </c>
      <c r="P140">
        <f t="shared" si="21"/>
        <v>625</v>
      </c>
      <c r="Q140">
        <f t="shared" si="22"/>
        <v>38.893095671510309</v>
      </c>
      <c r="R140">
        <f t="shared" si="23"/>
        <v>4.7016531233598116</v>
      </c>
      <c r="S140">
        <f t="shared" si="24"/>
        <v>364.4444736138642</v>
      </c>
      <c r="T140">
        <f t="shared" si="25"/>
        <v>259.91142860451657</v>
      </c>
      <c r="U140">
        <f t="shared" si="26"/>
        <v>25.081019822601721</v>
      </c>
    </row>
    <row r="141" spans="12:21" x14ac:dyDescent="0.55000000000000004">
      <c r="L141">
        <v>135</v>
      </c>
      <c r="M141">
        <f t="shared" si="18"/>
        <v>1.6964600329384882</v>
      </c>
      <c r="N141">
        <f t="shared" si="19"/>
        <v>13.943938092151933</v>
      </c>
      <c r="O141">
        <f t="shared" si="20"/>
        <v>873.72895282110221</v>
      </c>
      <c r="P141">
        <f t="shared" si="21"/>
        <v>625</v>
      </c>
      <c r="Q141">
        <f t="shared" si="22"/>
        <v>38.893095671510309</v>
      </c>
      <c r="R141">
        <f t="shared" si="23"/>
        <v>5.7987021918466333</v>
      </c>
      <c r="S141">
        <f t="shared" si="24"/>
        <v>363.34742454537746</v>
      </c>
      <c r="T141">
        <f t="shared" si="25"/>
        <v>259.91142860451657</v>
      </c>
      <c r="U141">
        <f t="shared" si="26"/>
        <v>25.081019822601725</v>
      </c>
    </row>
    <row r="142" spans="12:21" x14ac:dyDescent="0.55000000000000004">
      <c r="L142">
        <v>136</v>
      </c>
      <c r="M142">
        <f t="shared" si="18"/>
        <v>1.7090264035528475</v>
      </c>
      <c r="N142">
        <f t="shared" si="19"/>
        <v>16.853503268943317</v>
      </c>
      <c r="O142">
        <f t="shared" si="20"/>
        <v>870.81938764431072</v>
      </c>
      <c r="P142">
        <f t="shared" si="21"/>
        <v>625</v>
      </c>
      <c r="Q142">
        <f t="shared" si="22"/>
        <v>38.893095671510309</v>
      </c>
      <c r="R142">
        <f t="shared" si="23"/>
        <v>7.0086689785951153</v>
      </c>
      <c r="S142">
        <f t="shared" si="24"/>
        <v>362.1374577586289</v>
      </c>
      <c r="T142">
        <f t="shared" si="25"/>
        <v>259.91142860451657</v>
      </c>
      <c r="U142">
        <f t="shared" si="26"/>
        <v>25.081019822601721</v>
      </c>
    </row>
    <row r="143" spans="12:21" x14ac:dyDescent="0.55000000000000004">
      <c r="L143">
        <v>137</v>
      </c>
      <c r="M143">
        <f t="shared" si="18"/>
        <v>1.7215927741672068</v>
      </c>
      <c r="N143">
        <f t="shared" si="19"/>
        <v>20.032760023716655</v>
      </c>
      <c r="O143">
        <f t="shared" si="20"/>
        <v>867.64013088953732</v>
      </c>
      <c r="P143">
        <f t="shared" si="21"/>
        <v>625</v>
      </c>
      <c r="Q143">
        <f t="shared" si="22"/>
        <v>38.893095671510309</v>
      </c>
      <c r="R143">
        <f t="shared" si="23"/>
        <v>8.3307892426490326</v>
      </c>
      <c r="S143">
        <f t="shared" si="24"/>
        <v>360.81533749457503</v>
      </c>
      <c r="T143">
        <f t="shared" si="25"/>
        <v>259.91142860451657</v>
      </c>
      <c r="U143">
        <f t="shared" si="26"/>
        <v>25.081019822601725</v>
      </c>
    </row>
    <row r="144" spans="12:21" x14ac:dyDescent="0.55000000000000004">
      <c r="L144">
        <v>138</v>
      </c>
      <c r="M144">
        <f t="shared" si="18"/>
        <v>1.7341591447815659</v>
      </c>
      <c r="N144">
        <f t="shared" si="19"/>
        <v>23.479700269763292</v>
      </c>
      <c r="O144">
        <f t="shared" si="20"/>
        <v>864.19319064349065</v>
      </c>
      <c r="P144">
        <f t="shared" si="21"/>
        <v>625</v>
      </c>
      <c r="Q144">
        <f t="shared" si="22"/>
        <v>38.893095671510309</v>
      </c>
      <c r="R144">
        <f t="shared" si="23"/>
        <v>9.7642279045120475</v>
      </c>
      <c r="S144">
        <f t="shared" si="24"/>
        <v>359.38189883271195</v>
      </c>
      <c r="T144">
        <f t="shared" si="25"/>
        <v>259.91142860451657</v>
      </c>
      <c r="U144">
        <f t="shared" si="26"/>
        <v>25.081019822601721</v>
      </c>
    </row>
    <row r="145" spans="12:21" x14ac:dyDescent="0.55000000000000004">
      <c r="L145">
        <v>139</v>
      </c>
      <c r="M145">
        <f t="shared" si="18"/>
        <v>1.7467255153959249</v>
      </c>
      <c r="N145">
        <f t="shared" si="19"/>
        <v>27.192146845744226</v>
      </c>
      <c r="O145">
        <f t="shared" si="20"/>
        <v>860.48074406750993</v>
      </c>
      <c r="P145">
        <f t="shared" si="21"/>
        <v>625</v>
      </c>
      <c r="Q145">
        <f t="shared" si="22"/>
        <v>38.893095671510309</v>
      </c>
      <c r="R145">
        <f t="shared" si="23"/>
        <v>11.308079573601887</v>
      </c>
      <c r="S145">
        <f t="shared" si="24"/>
        <v>357.83804716362221</v>
      </c>
      <c r="T145">
        <f t="shared" si="25"/>
        <v>259.91142860451657</v>
      </c>
      <c r="U145">
        <f t="shared" si="26"/>
        <v>25.081019822601725</v>
      </c>
    </row>
    <row r="146" spans="12:21" x14ac:dyDescent="0.55000000000000004">
      <c r="L146">
        <v>140</v>
      </c>
      <c r="M146">
        <f t="shared" si="18"/>
        <v>1.7592918860102842</v>
      </c>
      <c r="N146">
        <f t="shared" si="19"/>
        <v>31.167754890831773</v>
      </c>
      <c r="O146">
        <f t="shared" si="20"/>
        <v>856.50513602242233</v>
      </c>
      <c r="P146">
        <f t="shared" si="21"/>
        <v>625</v>
      </c>
      <c r="Q146">
        <f t="shared" si="22"/>
        <v>38.893095671510309</v>
      </c>
      <c r="R146">
        <f t="shared" si="23"/>
        <v>12.961369120114389</v>
      </c>
      <c r="S146">
        <f t="shared" si="24"/>
        <v>356.18475761710971</v>
      </c>
      <c r="T146">
        <f t="shared" si="25"/>
        <v>259.91142860451657</v>
      </c>
      <c r="U146">
        <f t="shared" si="26"/>
        <v>25.081019822601725</v>
      </c>
    </row>
    <row r="147" spans="12:21" x14ac:dyDescent="0.55000000000000004">
      <c r="L147">
        <v>141</v>
      </c>
      <c r="M147">
        <f t="shared" si="18"/>
        <v>1.7718582566246432</v>
      </c>
      <c r="N147">
        <f t="shared" si="19"/>
        <v>35.404013325773747</v>
      </c>
      <c r="O147">
        <f t="shared" si="20"/>
        <v>852.26887758748023</v>
      </c>
      <c r="P147">
        <f t="shared" si="21"/>
        <v>625</v>
      </c>
      <c r="Q147">
        <f t="shared" si="22"/>
        <v>38.893095671510309</v>
      </c>
      <c r="R147">
        <f t="shared" si="23"/>
        <v>14.723052290936312</v>
      </c>
      <c r="S147">
        <f t="shared" si="24"/>
        <v>354.42307444628773</v>
      </c>
      <c r="T147">
        <f t="shared" si="25"/>
        <v>259.91142860451657</v>
      </c>
      <c r="U147">
        <f t="shared" si="26"/>
        <v>25.081019822601725</v>
      </c>
    </row>
    <row r="148" spans="12:21" x14ac:dyDescent="0.55000000000000004">
      <c r="L148">
        <v>142</v>
      </c>
      <c r="M148">
        <f t="shared" si="18"/>
        <v>1.7844246272390025</v>
      </c>
      <c r="N148">
        <f t="shared" si="19"/>
        <v>39.898246438945328</v>
      </c>
      <c r="O148">
        <f t="shared" si="20"/>
        <v>847.77464447430873</v>
      </c>
      <c r="P148">
        <f t="shared" si="21"/>
        <v>625</v>
      </c>
      <c r="Q148">
        <f t="shared" si="22"/>
        <v>38.893095671510309</v>
      </c>
      <c r="R148">
        <f t="shared" si="23"/>
        <v>16.592016369218154</v>
      </c>
      <c r="S148">
        <f t="shared" si="24"/>
        <v>352.55411036800587</v>
      </c>
      <c r="T148">
        <f t="shared" si="25"/>
        <v>259.91142860451657</v>
      </c>
      <c r="U148">
        <f t="shared" si="26"/>
        <v>25.081019822601721</v>
      </c>
    </row>
    <row r="149" spans="12:21" x14ac:dyDescent="0.55000000000000004">
      <c r="L149">
        <v>143</v>
      </c>
      <c r="M149">
        <f t="shared" si="18"/>
        <v>1.7969909978533618</v>
      </c>
      <c r="N149">
        <f t="shared" si="19"/>
        <v>44.647615576385505</v>
      </c>
      <c r="O149">
        <f t="shared" si="20"/>
        <v>843.0252753368685</v>
      </c>
      <c r="P149">
        <f t="shared" si="21"/>
        <v>625</v>
      </c>
      <c r="Q149">
        <f t="shared" si="22"/>
        <v>38.893095671510309</v>
      </c>
      <c r="R149">
        <f t="shared" si="23"/>
        <v>18.567080877189795</v>
      </c>
      <c r="S149">
        <f t="shared" si="24"/>
        <v>350.57904586003423</v>
      </c>
      <c r="T149">
        <f t="shared" si="25"/>
        <v>259.91142860451657</v>
      </c>
      <c r="U149">
        <f t="shared" si="26"/>
        <v>25.081019822601721</v>
      </c>
    </row>
    <row r="150" spans="12:21" x14ac:dyDescent="0.55000000000000004">
      <c r="L150">
        <v>144</v>
      </c>
      <c r="M150">
        <f t="shared" si="18"/>
        <v>1.8095573684677209</v>
      </c>
      <c r="N150">
        <f t="shared" si="19"/>
        <v>49.649120934751835</v>
      </c>
      <c r="O150">
        <f t="shared" si="20"/>
        <v>838.02376997850217</v>
      </c>
      <c r="P150">
        <f t="shared" si="21"/>
        <v>625</v>
      </c>
      <c r="Q150">
        <f t="shared" si="22"/>
        <v>38.893095671510309</v>
      </c>
      <c r="R150">
        <f t="shared" si="23"/>
        <v>20.646998321775616</v>
      </c>
      <c r="S150">
        <f t="shared" si="24"/>
        <v>348.49912841544847</v>
      </c>
      <c r="T150">
        <f t="shared" si="25"/>
        <v>259.91142860451657</v>
      </c>
      <c r="U150">
        <f t="shared" si="26"/>
        <v>25.081019822601725</v>
      </c>
    </row>
    <row r="151" spans="12:21" x14ac:dyDescent="0.55000000000000004">
      <c r="L151">
        <v>145</v>
      </c>
      <c r="M151">
        <f t="shared" si="18"/>
        <v>1.8221237390820799</v>
      </c>
      <c r="N151">
        <f t="shared" si="19"/>
        <v>54.899603456060781</v>
      </c>
      <c r="O151">
        <f t="shared" si="20"/>
        <v>832.77328745719331</v>
      </c>
      <c r="P151">
        <f t="shared" si="21"/>
        <v>625</v>
      </c>
      <c r="Q151">
        <f t="shared" si="22"/>
        <v>38.893095671510309</v>
      </c>
      <c r="R151">
        <f t="shared" si="23"/>
        <v>22.830454982537937</v>
      </c>
      <c r="S151">
        <f t="shared" si="24"/>
        <v>346.31567175468615</v>
      </c>
      <c r="T151">
        <f t="shared" si="25"/>
        <v>259.91142860451657</v>
      </c>
      <c r="U151">
        <f t="shared" si="26"/>
        <v>25.081019822601725</v>
      </c>
    </row>
    <row r="152" spans="12:21" x14ac:dyDescent="0.55000000000000004">
      <c r="L152">
        <v>146</v>
      </c>
      <c r="M152">
        <f t="shared" si="18"/>
        <v>1.8346901096964392</v>
      </c>
      <c r="N152">
        <f t="shared" si="19"/>
        <v>60.395746823016317</v>
      </c>
      <c r="O152">
        <f t="shared" si="20"/>
        <v>827.2771440902377</v>
      </c>
      <c r="P152">
        <f t="shared" si="21"/>
        <v>625</v>
      </c>
      <c r="Q152">
        <f t="shared" si="22"/>
        <v>38.893095671510309</v>
      </c>
      <c r="R152">
        <f t="shared" si="23"/>
        <v>25.11607174145098</v>
      </c>
      <c r="S152">
        <f t="shared" si="24"/>
        <v>344.03005499577307</v>
      </c>
      <c r="T152">
        <f t="shared" si="25"/>
        <v>259.91142860451657</v>
      </c>
      <c r="U152">
        <f t="shared" si="26"/>
        <v>25.081019822601725</v>
      </c>
    </row>
    <row r="153" spans="12:21" x14ac:dyDescent="0.55000000000000004">
      <c r="L153">
        <v>147</v>
      </c>
      <c r="M153">
        <f t="shared" si="18"/>
        <v>1.8472564803107985</v>
      </c>
      <c r="N153">
        <f t="shared" si="19"/>
        <v>66.134079553666709</v>
      </c>
      <c r="O153">
        <f t="shared" si="20"/>
        <v>821.53881135958738</v>
      </c>
      <c r="P153">
        <f t="shared" si="21"/>
        <v>625</v>
      </c>
      <c r="Q153">
        <f t="shared" si="22"/>
        <v>38.893095671510309</v>
      </c>
      <c r="R153">
        <f t="shared" si="23"/>
        <v>27.502404953981223</v>
      </c>
      <c r="S153">
        <f t="shared" si="24"/>
        <v>341.64372178324288</v>
      </c>
      <c r="T153">
        <f t="shared" si="25"/>
        <v>259.91142860451657</v>
      </c>
      <c r="U153">
        <f t="shared" si="26"/>
        <v>25.081019822601725</v>
      </c>
    </row>
    <row r="154" spans="12:21" x14ac:dyDescent="0.55000000000000004">
      <c r="L154">
        <v>148</v>
      </c>
      <c r="M154">
        <f t="shared" si="18"/>
        <v>1.8598228509251575</v>
      </c>
      <c r="N154">
        <f t="shared" si="19"/>
        <v>72.110977194067218</v>
      </c>
      <c r="O154">
        <f t="shared" si="20"/>
        <v>815.5619137191868</v>
      </c>
      <c r="P154">
        <f t="shared" si="21"/>
        <v>625</v>
      </c>
      <c r="Q154">
        <f t="shared" si="22"/>
        <v>38.893095671510309</v>
      </c>
      <c r="R154">
        <f t="shared" si="23"/>
        <v>29.987947360924359</v>
      </c>
      <c r="S154">
        <f t="shared" si="24"/>
        <v>339.1581793762997</v>
      </c>
      <c r="T154">
        <f t="shared" si="25"/>
        <v>259.91142860451657</v>
      </c>
      <c r="U154">
        <f t="shared" si="26"/>
        <v>25.081019822601725</v>
      </c>
    </row>
    <row r="155" spans="12:21" x14ac:dyDescent="0.55000000000000004">
      <c r="L155">
        <v>149</v>
      </c>
      <c r="M155">
        <f t="shared" si="18"/>
        <v>1.8723892215395168</v>
      </c>
      <c r="N155">
        <f t="shared" si="19"/>
        <v>78.322664607563155</v>
      </c>
      <c r="O155">
        <f t="shared" si="20"/>
        <v>809.35022630569085</v>
      </c>
      <c r="P155">
        <f t="shared" si="21"/>
        <v>625</v>
      </c>
      <c r="Q155">
        <f t="shared" si="22"/>
        <v>38.893095671510309</v>
      </c>
      <c r="R155">
        <f t="shared" si="23"/>
        <v>32.571129040422633</v>
      </c>
      <c r="S155">
        <f t="shared" si="24"/>
        <v>336.5749976968014</v>
      </c>
      <c r="T155">
        <f t="shared" si="25"/>
        <v>259.91142860451657</v>
      </c>
      <c r="U155">
        <f t="shared" si="26"/>
        <v>25.081019822601725</v>
      </c>
    </row>
    <row r="156" spans="12:21" x14ac:dyDescent="0.55000000000000004">
      <c r="L156">
        <v>150</v>
      </c>
      <c r="M156">
        <f t="shared" si="18"/>
        <v>1.8849555921538759</v>
      </c>
      <c r="N156">
        <f t="shared" si="19"/>
        <v>84.76521835924629</v>
      </c>
      <c r="O156">
        <f t="shared" si="20"/>
        <v>802.90767255400783</v>
      </c>
      <c r="P156">
        <f t="shared" si="21"/>
        <v>625</v>
      </c>
      <c r="Q156">
        <f t="shared" si="22"/>
        <v>38.893095671510309</v>
      </c>
      <c r="R156">
        <f t="shared" si="23"/>
        <v>35.250318399560797</v>
      </c>
      <c r="S156">
        <f t="shared" si="24"/>
        <v>333.89580833766325</v>
      </c>
      <c r="T156">
        <f t="shared" si="25"/>
        <v>259.91142860451657</v>
      </c>
      <c r="U156">
        <f t="shared" si="26"/>
        <v>25.081019822601725</v>
      </c>
    </row>
    <row r="157" spans="12:21" x14ac:dyDescent="0.55000000000000004">
      <c r="L157">
        <v>151</v>
      </c>
      <c r="M157">
        <f t="shared" si="18"/>
        <v>1.8975219627682349</v>
      </c>
      <c r="N157">
        <f t="shared" si="19"/>
        <v>91.434569194081419</v>
      </c>
      <c r="O157">
        <f t="shared" si="20"/>
        <v>796.23832171917263</v>
      </c>
      <c r="P157">
        <f t="shared" si="21"/>
        <v>625</v>
      </c>
      <c r="Q157">
        <f t="shared" si="22"/>
        <v>38.893095671510309</v>
      </c>
      <c r="R157">
        <f t="shared" si="23"/>
        <v>38.023823204915551</v>
      </c>
      <c r="S157">
        <f t="shared" si="24"/>
        <v>331.12230353230854</v>
      </c>
      <c r="T157">
        <f t="shared" si="25"/>
        <v>259.91142860451657</v>
      </c>
      <c r="U157">
        <f t="shared" si="26"/>
        <v>25.081019822601725</v>
      </c>
    </row>
    <row r="158" spans="12:21" x14ac:dyDescent="0.55000000000000004">
      <c r="L158">
        <v>152</v>
      </c>
      <c r="M158">
        <f t="shared" si="18"/>
        <v>1.9100883333825942</v>
      </c>
      <c r="N158">
        <f t="shared" si="19"/>
        <v>98.326504607134439</v>
      </c>
      <c r="O158">
        <f t="shared" si="20"/>
        <v>789.3463863061196</v>
      </c>
      <c r="P158">
        <f t="shared" si="21"/>
        <v>625</v>
      </c>
      <c r="Q158">
        <f t="shared" si="22"/>
        <v>38.893095671510309</v>
      </c>
      <c r="R158">
        <f t="shared" si="23"/>
        <v>40.889891651406224</v>
      </c>
      <c r="S158">
        <f t="shared" si="24"/>
        <v>328.25623508581782</v>
      </c>
      <c r="T158">
        <f t="shared" si="25"/>
        <v>259.91142860451657</v>
      </c>
      <c r="U158">
        <f t="shared" si="26"/>
        <v>25.081019822601725</v>
      </c>
    </row>
    <row r="159" spans="12:21" x14ac:dyDescent="0.55000000000000004">
      <c r="L159">
        <v>153</v>
      </c>
      <c r="M159">
        <f t="shared" si="18"/>
        <v>1.9226547039969535</v>
      </c>
      <c r="N159">
        <f t="shared" si="19"/>
        <v>105.4366715042808</v>
      </c>
      <c r="O159">
        <f t="shared" si="20"/>
        <v>782.23621940897328</v>
      </c>
      <c r="P159">
        <f t="shared" si="21"/>
        <v>625</v>
      </c>
      <c r="Q159">
        <f t="shared" si="22"/>
        <v>38.893095671510309</v>
      </c>
      <c r="R159">
        <f t="shared" si="23"/>
        <v>43.846713468772386</v>
      </c>
      <c r="S159">
        <f t="shared" si="24"/>
        <v>325.29941326845164</v>
      </c>
      <c r="T159">
        <f t="shared" si="25"/>
        <v>259.91142860451657</v>
      </c>
      <c r="U159">
        <f t="shared" si="26"/>
        <v>25.081019822601725</v>
      </c>
    </row>
    <row r="160" spans="12:21" x14ac:dyDescent="0.55000000000000004">
      <c r="L160">
        <v>154</v>
      </c>
      <c r="M160">
        <f t="shared" si="18"/>
        <v>1.9352210746113125</v>
      </c>
      <c r="N160">
        <f t="shared" si="19"/>
        <v>112.76057895171309</v>
      </c>
      <c r="O160">
        <f t="shared" si="20"/>
        <v>774.91231196154104</v>
      </c>
      <c r="P160">
        <f t="shared" si="21"/>
        <v>625</v>
      </c>
      <c r="Q160">
        <f t="shared" si="22"/>
        <v>38.893095671510309</v>
      </c>
      <c r="R160">
        <f t="shared" si="23"/>
        <v>46.892421064979402</v>
      </c>
      <c r="S160">
        <f t="shared" si="24"/>
        <v>322.25370567224468</v>
      </c>
      <c r="T160">
        <f t="shared" si="25"/>
        <v>259.91142860451657</v>
      </c>
      <c r="U160">
        <f t="shared" si="26"/>
        <v>25.081019822601725</v>
      </c>
    </row>
    <row r="161" spans="12:21" x14ac:dyDescent="0.55000000000000004">
      <c r="L161">
        <v>155</v>
      </c>
      <c r="M161">
        <f t="shared" si="18"/>
        <v>1.9477874452256718</v>
      </c>
      <c r="N161">
        <f t="shared" si="19"/>
        <v>120.29360101251144</v>
      </c>
      <c r="O161">
        <f t="shared" si="20"/>
        <v>767.37928990074249</v>
      </c>
      <c r="P161">
        <f t="shared" si="21"/>
        <v>625</v>
      </c>
      <c r="Q161">
        <f t="shared" si="22"/>
        <v>38.893095671510309</v>
      </c>
      <c r="R161">
        <f t="shared" si="23"/>
        <v>50.025090705829712</v>
      </c>
      <c r="S161">
        <f t="shared" si="24"/>
        <v>319.12103603139428</v>
      </c>
      <c r="T161">
        <f t="shared" si="25"/>
        <v>259.91142860451657</v>
      </c>
      <c r="U161">
        <f t="shared" si="26"/>
        <v>25.081019822601721</v>
      </c>
    </row>
    <row r="162" spans="12:21" x14ac:dyDescent="0.55000000000000004">
      <c r="L162">
        <v>156</v>
      </c>
      <c r="M162">
        <f t="shared" si="18"/>
        <v>1.9603538158400309</v>
      </c>
      <c r="N162">
        <f t="shared" si="19"/>
        <v>128.03097966848381</v>
      </c>
      <c r="O162">
        <f t="shared" si="20"/>
        <v>759.6419112447702</v>
      </c>
      <c r="P162">
        <f t="shared" si="21"/>
        <v>625</v>
      </c>
      <c r="Q162">
        <f t="shared" si="22"/>
        <v>38.893095671510309</v>
      </c>
      <c r="R162">
        <f t="shared" si="23"/>
        <v>53.242743730034299</v>
      </c>
      <c r="S162">
        <f t="shared" si="24"/>
        <v>315.90338300718975</v>
      </c>
      <c r="T162">
        <f t="shared" si="25"/>
        <v>259.91142860451657</v>
      </c>
      <c r="U162">
        <f t="shared" si="26"/>
        <v>25.081019822601725</v>
      </c>
    </row>
    <row r="163" spans="12:21" x14ac:dyDescent="0.55000000000000004">
      <c r="L163">
        <v>157</v>
      </c>
      <c r="M163">
        <f t="shared" si="18"/>
        <v>1.9729201864543899</v>
      </c>
      <c r="N163">
        <f t="shared" si="19"/>
        <v>135.96782782543283</v>
      </c>
      <c r="O163">
        <f t="shared" si="20"/>
        <v>751.70506308782115</v>
      </c>
      <c r="P163">
        <f t="shared" si="21"/>
        <v>625</v>
      </c>
      <c r="Q163">
        <f t="shared" si="22"/>
        <v>38.893095671510309</v>
      </c>
      <c r="R163">
        <f t="shared" si="23"/>
        <v>56.543347798977891</v>
      </c>
      <c r="S163">
        <f t="shared" si="24"/>
        <v>312.6027789382461</v>
      </c>
      <c r="T163">
        <f t="shared" si="25"/>
        <v>259.91142860451657</v>
      </c>
      <c r="U163">
        <f t="shared" si="26"/>
        <v>25.081019822601721</v>
      </c>
    </row>
    <row r="164" spans="12:21" x14ac:dyDescent="0.55000000000000004">
      <c r="L164">
        <v>158</v>
      </c>
      <c r="M164">
        <f t="shared" si="18"/>
        <v>1.9854865570687494</v>
      </c>
      <c r="N164">
        <f t="shared" si="19"/>
        <v>144.09913239994924</v>
      </c>
      <c r="O164">
        <f t="shared" si="20"/>
        <v>743.57375851330482</v>
      </c>
      <c r="P164">
        <f t="shared" si="21"/>
        <v>625</v>
      </c>
      <c r="Q164">
        <f t="shared" si="22"/>
        <v>38.893095671510309</v>
      </c>
      <c r="R164">
        <f t="shared" si="23"/>
        <v>59.924818180387497</v>
      </c>
      <c r="S164">
        <f t="shared" si="24"/>
        <v>309.22130855683656</v>
      </c>
      <c r="T164">
        <f t="shared" si="25"/>
        <v>259.91142860451657</v>
      </c>
      <c r="U164">
        <f t="shared" si="26"/>
        <v>25.081019822601725</v>
      </c>
    </row>
    <row r="165" spans="12:21" x14ac:dyDescent="0.55000000000000004">
      <c r="L165">
        <v>159</v>
      </c>
      <c r="M165">
        <f t="shared" si="18"/>
        <v>1.9980529276831085</v>
      </c>
      <c r="N165">
        <f t="shared" si="19"/>
        <v>152.41975748578176</v>
      </c>
      <c r="O165">
        <f t="shared" si="20"/>
        <v>735.25313342747233</v>
      </c>
      <c r="P165">
        <f t="shared" si="21"/>
        <v>625</v>
      </c>
      <c r="Q165">
        <f t="shared" si="22"/>
        <v>38.893095671510309</v>
      </c>
      <c r="R165">
        <f t="shared" si="23"/>
        <v>63.385019065093587</v>
      </c>
      <c r="S165">
        <f t="shared" si="24"/>
        <v>305.76110767213049</v>
      </c>
      <c r="T165">
        <f t="shared" si="25"/>
        <v>259.91142860451657</v>
      </c>
      <c r="U165">
        <f t="shared" si="26"/>
        <v>25.081019822601725</v>
      </c>
    </row>
    <row r="166" spans="12:21" x14ac:dyDescent="0.55000000000000004">
      <c r="L166">
        <v>160</v>
      </c>
      <c r="M166">
        <f t="shared" si="18"/>
        <v>2.0106192982974678</v>
      </c>
      <c r="N166">
        <f t="shared" si="19"/>
        <v>160.92444759778718</v>
      </c>
      <c r="O166">
        <f t="shared" si="20"/>
        <v>726.74844331546683</v>
      </c>
      <c r="P166">
        <f t="shared" si="21"/>
        <v>625</v>
      </c>
      <c r="Q166">
        <f t="shared" si="22"/>
        <v>38.893095671510309</v>
      </c>
      <c r="R166">
        <f t="shared" si="23"/>
        <v>66.921764916053647</v>
      </c>
      <c r="S166">
        <f t="shared" si="24"/>
        <v>302.22436182117042</v>
      </c>
      <c r="T166">
        <f t="shared" si="25"/>
        <v>259.91142860451657</v>
      </c>
      <c r="U166">
        <f t="shared" si="26"/>
        <v>25.081019822601725</v>
      </c>
    </row>
    <row r="167" spans="12:21" x14ac:dyDescent="0.55000000000000004">
      <c r="L167">
        <v>161</v>
      </c>
      <c r="M167">
        <f t="shared" si="18"/>
        <v>2.0231856689118266</v>
      </c>
      <c r="N167">
        <f t="shared" si="19"/>
        <v>169.60783099140602</v>
      </c>
      <c r="O167">
        <f t="shared" si="20"/>
        <v>718.06505992184816</v>
      </c>
      <c r="P167">
        <f t="shared" si="21"/>
        <v>625</v>
      </c>
      <c r="Q167">
        <f t="shared" si="22"/>
        <v>38.893095671510309</v>
      </c>
      <c r="R167">
        <f t="shared" si="23"/>
        <v>70.532821848783584</v>
      </c>
      <c r="S167">
        <f t="shared" si="24"/>
        <v>298.6133048884405</v>
      </c>
      <c r="T167">
        <f t="shared" si="25"/>
        <v>259.91142860451657</v>
      </c>
      <c r="U167">
        <f t="shared" si="26"/>
        <v>25.081019822601725</v>
      </c>
    </row>
    <row r="168" spans="12:21" x14ac:dyDescent="0.55000000000000004">
      <c r="L168">
        <v>162</v>
      </c>
      <c r="M168">
        <f t="shared" si="18"/>
        <v>2.0357520395261859</v>
      </c>
      <c r="N168">
        <f t="shared" si="19"/>
        <v>178.46442305557295</v>
      </c>
      <c r="O168">
        <f t="shared" si="20"/>
        <v>709.20846785768117</v>
      </c>
      <c r="P168">
        <f t="shared" si="21"/>
        <v>625</v>
      </c>
      <c r="Q168">
        <f t="shared" si="22"/>
        <v>38.893095671510309</v>
      </c>
      <c r="R168">
        <f t="shared" si="23"/>
        <v>74.215909042327652</v>
      </c>
      <c r="S168">
        <f t="shared" si="24"/>
        <v>294.93021769489638</v>
      </c>
      <c r="T168">
        <f t="shared" si="25"/>
        <v>259.91142860451657</v>
      </c>
      <c r="U168">
        <f t="shared" si="26"/>
        <v>25.081019822601725</v>
      </c>
    </row>
    <row r="169" spans="12:21" x14ac:dyDescent="0.55000000000000004">
      <c r="L169">
        <v>163</v>
      </c>
      <c r="M169">
        <f t="shared" si="18"/>
        <v>2.0483184101405452</v>
      </c>
      <c r="N169">
        <f t="shared" si="19"/>
        <v>187.48862977691309</v>
      </c>
      <c r="O169">
        <f t="shared" si="20"/>
        <v>700.18426113634098</v>
      </c>
      <c r="P169">
        <f t="shared" si="21"/>
        <v>625</v>
      </c>
      <c r="Q169">
        <f t="shared" si="22"/>
        <v>38.893095671510309</v>
      </c>
      <c r="R169">
        <f t="shared" si="23"/>
        <v>77.968700179873252</v>
      </c>
      <c r="S169">
        <f t="shared" si="24"/>
        <v>291.17742655735083</v>
      </c>
      <c r="T169">
        <f t="shared" si="25"/>
        <v>259.91142860451657</v>
      </c>
      <c r="U169">
        <f t="shared" si="26"/>
        <v>25.081019822601725</v>
      </c>
    </row>
    <row r="170" spans="12:21" x14ac:dyDescent="0.55000000000000004">
      <c r="L170">
        <v>164</v>
      </c>
      <c r="M170">
        <f t="shared" si="18"/>
        <v>2.060884780754904</v>
      </c>
      <c r="N170">
        <f t="shared" si="19"/>
        <v>196.67475127304155</v>
      </c>
      <c r="O170">
        <f t="shared" si="20"/>
        <v>690.99813964021257</v>
      </c>
      <c r="P170">
        <f t="shared" si="21"/>
        <v>625</v>
      </c>
      <c r="Q170">
        <f t="shared" si="22"/>
        <v>38.893095671510309</v>
      </c>
      <c r="R170">
        <f t="shared" si="23"/>
        <v>81.788824918102705</v>
      </c>
      <c r="S170">
        <f t="shared" si="24"/>
        <v>287.35730181912135</v>
      </c>
      <c r="T170">
        <f t="shared" si="25"/>
        <v>259.91142860451657</v>
      </c>
      <c r="U170">
        <f t="shared" si="26"/>
        <v>25.081019822601725</v>
      </c>
    </row>
    <row r="171" spans="12:21" x14ac:dyDescent="0.55000000000000004">
      <c r="L171">
        <v>165</v>
      </c>
      <c r="M171">
        <f t="shared" si="18"/>
        <v>2.0734511513692633</v>
      </c>
      <c r="N171">
        <f t="shared" si="19"/>
        <v>206.01698539273212</v>
      </c>
      <c r="O171">
        <f t="shared" si="20"/>
        <v>681.65590552052186</v>
      </c>
      <c r="P171">
        <f t="shared" si="21"/>
        <v>625</v>
      </c>
      <c r="Q171">
        <f t="shared" si="22"/>
        <v>38.893095671510309</v>
      </c>
      <c r="R171">
        <f t="shared" si="23"/>
        <v>85.673870384353322</v>
      </c>
      <c r="S171">
        <f t="shared" si="24"/>
        <v>283.47225635287072</v>
      </c>
      <c r="T171">
        <f t="shared" si="25"/>
        <v>259.91142860451657</v>
      </c>
      <c r="U171">
        <f t="shared" si="26"/>
        <v>25.081019822601725</v>
      </c>
    </row>
    <row r="172" spans="12:21" x14ac:dyDescent="0.55000000000000004">
      <c r="L172">
        <v>166</v>
      </c>
      <c r="M172">
        <f t="shared" si="18"/>
        <v>2.086017521983623</v>
      </c>
      <c r="N172">
        <f t="shared" si="19"/>
        <v>215.50943138067905</v>
      </c>
      <c r="O172">
        <f t="shared" si="20"/>
        <v>672.16345953257496</v>
      </c>
      <c r="P172">
        <f t="shared" si="21"/>
        <v>625</v>
      </c>
      <c r="Q172">
        <f t="shared" si="22"/>
        <v>38.893095671510309</v>
      </c>
      <c r="R172">
        <f t="shared" si="23"/>
        <v>89.621382700638904</v>
      </c>
      <c r="S172">
        <f t="shared" si="24"/>
        <v>279.5247440365851</v>
      </c>
      <c r="T172">
        <f t="shared" si="25"/>
        <v>259.91142860451657</v>
      </c>
      <c r="U172">
        <f t="shared" si="26"/>
        <v>25.081019822601721</v>
      </c>
    </row>
    <row r="173" spans="12:21" x14ac:dyDescent="0.55000000000000004">
      <c r="L173">
        <v>167</v>
      </c>
      <c r="M173">
        <f t="shared" si="18"/>
        <v>2.0985838925979818</v>
      </c>
      <c r="N173">
        <f t="shared" si="19"/>
        <v>225.14609360453983</v>
      </c>
      <c r="O173">
        <f t="shared" si="20"/>
        <v>662.52679730871421</v>
      </c>
      <c r="P173">
        <f t="shared" si="21"/>
        <v>625</v>
      </c>
      <c r="Q173">
        <f t="shared" si="22"/>
        <v>38.893095671510309</v>
      </c>
      <c r="R173">
        <f t="shared" si="23"/>
        <v>93.628868533571449</v>
      </c>
      <c r="S173">
        <f t="shared" si="24"/>
        <v>275.5172582036526</v>
      </c>
      <c r="T173">
        <f t="shared" si="25"/>
        <v>259.91142860451657</v>
      </c>
      <c r="U173">
        <f t="shared" si="26"/>
        <v>25.081019822601725</v>
      </c>
    </row>
    <row r="174" spans="12:21" x14ac:dyDescent="0.55000000000000004">
      <c r="L174">
        <v>168</v>
      </c>
      <c r="M174">
        <f t="shared" si="18"/>
        <v>2.1111502632123411</v>
      </c>
      <c r="N174">
        <f t="shared" si="19"/>
        <v>234.92088534190862</v>
      </c>
      <c r="O174">
        <f t="shared" si="20"/>
        <v>652.75200557134542</v>
      </c>
      <c r="P174">
        <f t="shared" si="21"/>
        <v>625</v>
      </c>
      <c r="Q174">
        <f t="shared" si="22"/>
        <v>38.893095671510309</v>
      </c>
      <c r="R174">
        <f t="shared" si="23"/>
        <v>97.693796669205284</v>
      </c>
      <c r="S174">
        <f t="shared" si="24"/>
        <v>271.4523300680188</v>
      </c>
      <c r="T174">
        <f t="shared" si="25"/>
        <v>259.91142860451657</v>
      </c>
      <c r="U174">
        <f t="shared" si="26"/>
        <v>25.081019822601725</v>
      </c>
    </row>
    <row r="175" spans="12:21" x14ac:dyDescent="0.55000000000000004">
      <c r="L175">
        <v>169</v>
      </c>
      <c r="M175">
        <f t="shared" si="18"/>
        <v>2.1237166338267004</v>
      </c>
      <c r="N175">
        <f t="shared" si="19"/>
        <v>244.82763262481654</v>
      </c>
      <c r="O175">
        <f t="shared" si="20"/>
        <v>642.84525828843744</v>
      </c>
      <c r="P175">
        <f t="shared" si="21"/>
        <v>625</v>
      </c>
      <c r="Q175">
        <f t="shared" si="22"/>
        <v>38.893095671510309</v>
      </c>
      <c r="R175">
        <f t="shared" si="23"/>
        <v>101.81359961180449</v>
      </c>
      <c r="S175">
        <f t="shared" si="24"/>
        <v>267.33252712541952</v>
      </c>
      <c r="T175">
        <f t="shared" si="25"/>
        <v>259.91142860451657</v>
      </c>
      <c r="U175">
        <f t="shared" si="26"/>
        <v>25.081019822601721</v>
      </c>
    </row>
    <row r="176" spans="12:21" x14ac:dyDescent="0.55000000000000004">
      <c r="L176">
        <v>170</v>
      </c>
      <c r="M176">
        <f t="shared" si="18"/>
        <v>2.1362830044410592</v>
      </c>
      <c r="N176">
        <f t="shared" si="19"/>
        <v>254.86007813934421</v>
      </c>
      <c r="O176">
        <f t="shared" si="20"/>
        <v>632.81281277390985</v>
      </c>
      <c r="P176">
        <f t="shared" si="21"/>
        <v>625</v>
      </c>
      <c r="Q176">
        <f t="shared" si="22"/>
        <v>38.893095671510309</v>
      </c>
      <c r="R176">
        <f t="shared" si="23"/>
        <v>105.98567520552908</v>
      </c>
      <c r="S176">
        <f t="shared" si="24"/>
        <v>263.160451531695</v>
      </c>
      <c r="T176">
        <f t="shared" si="25"/>
        <v>259.91142860451657</v>
      </c>
      <c r="U176">
        <f t="shared" si="26"/>
        <v>25.081019822601725</v>
      </c>
    </row>
    <row r="177" spans="12:21" x14ac:dyDescent="0.55000000000000004">
      <c r="L177">
        <v>171</v>
      </c>
      <c r="M177">
        <f t="shared" si="18"/>
        <v>2.1488493750554185</v>
      </c>
      <c r="N177">
        <f t="shared" si="19"/>
        <v>265.01188517787591</v>
      </c>
      <c r="O177">
        <f t="shared" si="20"/>
        <v>622.66100573537813</v>
      </c>
      <c r="P177">
        <f t="shared" si="21"/>
        <v>625</v>
      </c>
      <c r="Q177">
        <f t="shared" si="22"/>
        <v>38.893095671510309</v>
      </c>
      <c r="R177">
        <f t="shared" si="23"/>
        <v>110.20738827801253</v>
      </c>
      <c r="S177">
        <f t="shared" si="24"/>
        <v>258.93873845921155</v>
      </c>
      <c r="T177">
        <f t="shared" si="25"/>
        <v>259.91142860451657</v>
      </c>
      <c r="U177">
        <f t="shared" si="26"/>
        <v>25.081019822601725</v>
      </c>
    </row>
    <row r="178" spans="12:21" x14ac:dyDescent="0.55000000000000004">
      <c r="L178">
        <v>172</v>
      </c>
      <c r="M178">
        <f t="shared" si="18"/>
        <v>2.1614157456697778</v>
      </c>
      <c r="N178">
        <f t="shared" si="19"/>
        <v>275.27664164149803</v>
      </c>
      <c r="O178">
        <f t="shared" si="20"/>
        <v>612.39624927175612</v>
      </c>
      <c r="P178">
        <f t="shared" si="21"/>
        <v>625</v>
      </c>
      <c r="Q178">
        <f t="shared" si="22"/>
        <v>38.893095671510309</v>
      </c>
      <c r="R178">
        <f t="shared" si="23"/>
        <v>114.4760723047925</v>
      </c>
      <c r="S178">
        <f t="shared" si="24"/>
        <v>254.67005443243161</v>
      </c>
      <c r="T178">
        <f t="shared" si="25"/>
        <v>259.91142860451657</v>
      </c>
      <c r="U178">
        <f t="shared" si="26"/>
        <v>25.081019822601725</v>
      </c>
    </row>
    <row r="179" spans="12:21" x14ac:dyDescent="0.55000000000000004">
      <c r="L179">
        <v>173</v>
      </c>
      <c r="M179">
        <f t="shared" si="18"/>
        <v>2.1739821162841366</v>
      </c>
      <c r="N179">
        <f t="shared" si="19"/>
        <v>285.64786409001914</v>
      </c>
      <c r="O179">
        <f t="shared" si="20"/>
        <v>602.02502682323484</v>
      </c>
      <c r="P179">
        <f t="shared" si="21"/>
        <v>625</v>
      </c>
      <c r="Q179">
        <f t="shared" si="22"/>
        <v>38.893095671510309</v>
      </c>
      <c r="R179">
        <f t="shared" si="23"/>
        <v>118.78903109354505</v>
      </c>
      <c r="S179">
        <f t="shared" si="24"/>
        <v>250.35709564367897</v>
      </c>
      <c r="T179">
        <f t="shared" si="25"/>
        <v>259.91142860451657</v>
      </c>
      <c r="U179">
        <f t="shared" si="26"/>
        <v>25.081019822601721</v>
      </c>
    </row>
    <row r="180" spans="12:21" x14ac:dyDescent="0.55000000000000004">
      <c r="L180">
        <v>174</v>
      </c>
      <c r="M180">
        <f t="shared" si="18"/>
        <v>2.1865484868984959</v>
      </c>
      <c r="N180">
        <f t="shared" si="19"/>
        <v>296.1190018370508</v>
      </c>
      <c r="O180">
        <f t="shared" si="20"/>
        <v>591.55388907620318</v>
      </c>
      <c r="P180">
        <f t="shared" si="21"/>
        <v>625</v>
      </c>
      <c r="Q180">
        <f t="shared" si="22"/>
        <v>38.893095671510309</v>
      </c>
      <c r="R180">
        <f t="shared" si="23"/>
        <v>123.14354048705813</v>
      </c>
      <c r="S180">
        <f t="shared" si="24"/>
        <v>246.00258625016588</v>
      </c>
      <c r="T180">
        <f t="shared" si="25"/>
        <v>259.91142860451657</v>
      </c>
      <c r="U180">
        <f t="shared" si="26"/>
        <v>25.081019822601721</v>
      </c>
    </row>
    <row r="181" spans="12:21" x14ac:dyDescent="0.55000000000000004">
      <c r="L181">
        <v>175</v>
      </c>
      <c r="M181">
        <f t="shared" si="18"/>
        <v>2.1991148575128552</v>
      </c>
      <c r="N181">
        <f t="shared" si="19"/>
        <v>306.68344108755974</v>
      </c>
      <c r="O181">
        <f t="shared" si="20"/>
        <v>580.98944982569424</v>
      </c>
      <c r="P181">
        <f t="shared" si="21"/>
        <v>625</v>
      </c>
      <c r="Q181">
        <f t="shared" si="22"/>
        <v>38.893095671510309</v>
      </c>
      <c r="R181">
        <f t="shared" si="23"/>
        <v>127.53685008386678</v>
      </c>
      <c r="S181">
        <f t="shared" si="24"/>
        <v>241.60927665335723</v>
      </c>
      <c r="T181">
        <f t="shared" si="25"/>
        <v>259.91142860451657</v>
      </c>
      <c r="U181">
        <f t="shared" si="26"/>
        <v>25.081019822601721</v>
      </c>
    </row>
    <row r="182" spans="12:21" x14ac:dyDescent="0.55000000000000004">
      <c r="L182">
        <v>176</v>
      </c>
      <c r="M182">
        <f t="shared" si="18"/>
        <v>2.211681228127214</v>
      </c>
      <c r="N182">
        <f t="shared" si="19"/>
        <v>317.33450911528303</v>
      </c>
      <c r="O182">
        <f t="shared" si="20"/>
        <v>570.33838179797101</v>
      </c>
      <c r="P182">
        <f t="shared" si="21"/>
        <v>625</v>
      </c>
      <c r="Q182">
        <f t="shared" si="22"/>
        <v>38.893095671510309</v>
      </c>
      <c r="R182">
        <f t="shared" si="23"/>
        <v>131.96618497546589</v>
      </c>
      <c r="S182">
        <f t="shared" si="24"/>
        <v>237.17994176175816</v>
      </c>
      <c r="T182">
        <f t="shared" si="25"/>
        <v>259.91142860451657</v>
      </c>
      <c r="U182">
        <f t="shared" si="26"/>
        <v>25.081019822601725</v>
      </c>
    </row>
    <row r="183" spans="12:21" x14ac:dyDescent="0.55000000000000004">
      <c r="L183">
        <v>177</v>
      </c>
      <c r="M183">
        <f t="shared" si="18"/>
        <v>2.2242475987415737</v>
      </c>
      <c r="N183">
        <f t="shared" si="19"/>
        <v>328.06547847736687</v>
      </c>
      <c r="O183">
        <f t="shared" si="20"/>
        <v>559.60741243588723</v>
      </c>
      <c r="P183">
        <f t="shared" si="21"/>
        <v>625</v>
      </c>
      <c r="Q183">
        <f t="shared" si="22"/>
        <v>38.893095671510309</v>
      </c>
      <c r="R183">
        <f t="shared" si="23"/>
        <v>136.42874749900272</v>
      </c>
      <c r="S183">
        <f t="shared" si="24"/>
        <v>232.71737923822135</v>
      </c>
      <c r="T183">
        <f t="shared" si="25"/>
        <v>259.91142860451657</v>
      </c>
      <c r="U183">
        <f t="shared" si="26"/>
        <v>25.081019822601725</v>
      </c>
    </row>
    <row r="184" spans="12:21" x14ac:dyDescent="0.55000000000000004">
      <c r="L184">
        <v>178</v>
      </c>
      <c r="M184">
        <f t="shared" si="18"/>
        <v>2.236813969355933</v>
      </c>
      <c r="N184">
        <f t="shared" si="19"/>
        <v>338.86957126355986</v>
      </c>
      <c r="O184">
        <f t="shared" si="20"/>
        <v>548.80331964969423</v>
      </c>
      <c r="P184">
        <f t="shared" si="21"/>
        <v>625</v>
      </c>
      <c r="Q184">
        <f t="shared" si="22"/>
        <v>38.893095671510309</v>
      </c>
      <c r="R184">
        <f t="shared" si="23"/>
        <v>140.921719004339</v>
      </c>
      <c r="S184">
        <f t="shared" si="24"/>
        <v>228.22440773288508</v>
      </c>
      <c r="T184">
        <f t="shared" si="25"/>
        <v>259.91142860451657</v>
      </c>
      <c r="U184">
        <f t="shared" si="26"/>
        <v>25.081019822601725</v>
      </c>
    </row>
    <row r="185" spans="12:21" x14ac:dyDescent="0.55000000000000004">
      <c r="L185">
        <v>179</v>
      </c>
      <c r="M185">
        <f t="shared" si="18"/>
        <v>2.2493803399702919</v>
      </c>
      <c r="N185">
        <f t="shared" si="19"/>
        <v>349.73996337728977</v>
      </c>
      <c r="O185">
        <f t="shared" si="20"/>
        <v>537.93292753596415</v>
      </c>
      <c r="P185">
        <f t="shared" si="21"/>
        <v>625</v>
      </c>
      <c r="Q185">
        <f t="shared" si="22"/>
        <v>38.893095671510309</v>
      </c>
      <c r="R185">
        <f t="shared" si="23"/>
        <v>145.44226163437227</v>
      </c>
      <c r="S185">
        <f t="shared" si="24"/>
        <v>223.70386510285172</v>
      </c>
      <c r="T185">
        <f t="shared" si="25"/>
        <v>259.91142860451657</v>
      </c>
      <c r="U185">
        <f t="shared" si="26"/>
        <v>25.081019822601721</v>
      </c>
    </row>
    <row r="186" spans="12:21" x14ac:dyDescent="0.55000000000000004">
      <c r="L186">
        <v>180</v>
      </c>
      <c r="M186">
        <f t="shared" si="18"/>
        <v>2.2619467105846511</v>
      </c>
      <c r="N186">
        <f t="shared" si="19"/>
        <v>360.66978884590907</v>
      </c>
      <c r="O186">
        <f t="shared" si="20"/>
        <v>527.00310206734503</v>
      </c>
      <c r="P186">
        <f t="shared" si="21"/>
        <v>625</v>
      </c>
      <c r="Q186">
        <f t="shared" si="22"/>
        <v>38.893095671510309</v>
      </c>
      <c r="R186">
        <f t="shared" si="23"/>
        <v>149.98752011748726</v>
      </c>
      <c r="S186">
        <f t="shared" si="24"/>
        <v>219.15860661973679</v>
      </c>
      <c r="T186">
        <f t="shared" si="25"/>
        <v>259.91142860451657</v>
      </c>
      <c r="U186">
        <f t="shared" si="26"/>
        <v>25.081019822601725</v>
      </c>
    </row>
    <row r="187" spans="12:21" x14ac:dyDescent="0.55000000000000004">
      <c r="L187">
        <v>181</v>
      </c>
      <c r="M187">
        <f t="shared" si="18"/>
        <v>2.2745130811990104</v>
      </c>
      <c r="N187">
        <f t="shared" si="19"/>
        <v>371.6521441573878</v>
      </c>
      <c r="O187">
        <f t="shared" si="20"/>
        <v>516.0207467558663</v>
      </c>
      <c r="P187">
        <f t="shared" si="21"/>
        <v>625</v>
      </c>
      <c r="Q187">
        <f t="shared" si="22"/>
        <v>38.893095671510309</v>
      </c>
      <c r="R187">
        <f t="shared" si="23"/>
        <v>154.55462357100541</v>
      </c>
      <c r="S187">
        <f t="shared" si="24"/>
        <v>214.59150316621864</v>
      </c>
      <c r="T187">
        <f t="shared" si="25"/>
        <v>259.91142860451657</v>
      </c>
      <c r="U187">
        <f t="shared" si="26"/>
        <v>25.081019822601725</v>
      </c>
    </row>
    <row r="188" spans="12:21" x14ac:dyDescent="0.55000000000000004">
      <c r="L188">
        <v>182</v>
      </c>
      <c r="M188">
        <f t="shared" si="18"/>
        <v>2.2870794518133692</v>
      </c>
      <c r="N188">
        <f t="shared" si="19"/>
        <v>382.68009262072172</v>
      </c>
      <c r="O188">
        <f t="shared" si="20"/>
        <v>504.99279829253243</v>
      </c>
      <c r="P188">
        <f t="shared" si="21"/>
        <v>625</v>
      </c>
      <c r="Q188">
        <f t="shared" si="22"/>
        <v>38.893095671510309</v>
      </c>
      <c r="R188">
        <f t="shared" si="23"/>
        <v>159.14068731449677</v>
      </c>
      <c r="S188">
        <f t="shared" si="24"/>
        <v>210.00543942272731</v>
      </c>
      <c r="T188">
        <f t="shared" si="25"/>
        <v>259.91142860451657</v>
      </c>
      <c r="U188">
        <f t="shared" si="26"/>
        <v>25.081019822601725</v>
      </c>
    </row>
    <row r="189" spans="12:21" x14ac:dyDescent="0.55000000000000004">
      <c r="L189">
        <v>183</v>
      </c>
      <c r="M189">
        <f t="shared" si="18"/>
        <v>2.2996458224277285</v>
      </c>
      <c r="N189">
        <f t="shared" si="19"/>
        <v>393.74666874729581</v>
      </c>
      <c r="O189">
        <f t="shared" si="20"/>
        <v>493.92622216595822</v>
      </c>
      <c r="P189">
        <f t="shared" si="21"/>
        <v>625</v>
      </c>
      <c r="Q189">
        <f t="shared" si="22"/>
        <v>38.893095671510309</v>
      </c>
      <c r="R189">
        <f t="shared" si="23"/>
        <v>163.74281469180639</v>
      </c>
      <c r="S189">
        <f t="shared" si="24"/>
        <v>205.40331204541766</v>
      </c>
      <c r="T189">
        <f t="shared" si="25"/>
        <v>259.91142860451657</v>
      </c>
      <c r="U189">
        <f t="shared" si="26"/>
        <v>25.081019822601725</v>
      </c>
    </row>
    <row r="190" spans="12:21" x14ac:dyDescent="0.55000000000000004">
      <c r="L190">
        <v>184</v>
      </c>
      <c r="M190">
        <f t="shared" si="18"/>
        <v>2.3122121930420878</v>
      </c>
      <c r="N190">
        <f t="shared" si="19"/>
        <v>404.84488265043376</v>
      </c>
      <c r="O190">
        <f t="shared" si="20"/>
        <v>482.82800826282045</v>
      </c>
      <c r="P190">
        <f t="shared" si="21"/>
        <v>625</v>
      </c>
      <c r="Q190">
        <f t="shared" si="22"/>
        <v>38.893095671510309</v>
      </c>
      <c r="R190">
        <f t="shared" si="23"/>
        <v>168.35809890064334</v>
      </c>
      <c r="S190">
        <f t="shared" si="24"/>
        <v>200.78802783658077</v>
      </c>
      <c r="T190">
        <f t="shared" si="25"/>
        <v>259.91142860451657</v>
      </c>
      <c r="U190">
        <f t="shared" si="26"/>
        <v>25.081019822601725</v>
      </c>
    </row>
    <row r="191" spans="12:21" x14ac:dyDescent="0.55000000000000004">
      <c r="L191">
        <v>185</v>
      </c>
      <c r="M191">
        <f t="shared" si="18"/>
        <v>2.3247785636564466</v>
      </c>
      <c r="N191">
        <f t="shared" si="19"/>
        <v>415.9677244603613</v>
      </c>
      <c r="O191">
        <f t="shared" si="20"/>
        <v>471.70516645289274</v>
      </c>
      <c r="P191">
        <f t="shared" si="21"/>
        <v>625</v>
      </c>
      <c r="Q191">
        <f t="shared" si="22"/>
        <v>38.893095671510309</v>
      </c>
      <c r="R191">
        <f t="shared" si="23"/>
        <v>172.98362482857985</v>
      </c>
      <c r="S191">
        <f t="shared" si="24"/>
        <v>196.1625019086442</v>
      </c>
      <c r="T191">
        <f t="shared" si="25"/>
        <v>259.91142860451657</v>
      </c>
      <c r="U191">
        <f t="shared" si="26"/>
        <v>25.081019822601725</v>
      </c>
    </row>
    <row r="192" spans="12:21" x14ac:dyDescent="0.55000000000000004">
      <c r="L192">
        <v>186</v>
      </c>
      <c r="M192">
        <f t="shared" si="18"/>
        <v>2.3373449342708059</v>
      </c>
      <c r="N192">
        <f t="shared" si="19"/>
        <v>427.10816875179211</v>
      </c>
      <c r="O192">
        <f t="shared" si="20"/>
        <v>460.56472216146193</v>
      </c>
      <c r="P192">
        <f t="shared" si="21"/>
        <v>625</v>
      </c>
      <c r="Q192">
        <f t="shared" si="22"/>
        <v>38.893095671510309</v>
      </c>
      <c r="R192">
        <f t="shared" si="23"/>
        <v>177.61647089429957</v>
      </c>
      <c r="S192">
        <f t="shared" si="24"/>
        <v>191.52965584292448</v>
      </c>
      <c r="T192">
        <f t="shared" si="25"/>
        <v>259.91142860451657</v>
      </c>
      <c r="U192">
        <f t="shared" si="26"/>
        <v>25.081019822601725</v>
      </c>
    </row>
    <row r="193" spans="12:21" x14ac:dyDescent="0.55000000000000004">
      <c r="L193">
        <v>187</v>
      </c>
      <c r="M193">
        <f t="shared" si="18"/>
        <v>2.3499113048851656</v>
      </c>
      <c r="N193">
        <f t="shared" si="19"/>
        <v>438.25917898133383</v>
      </c>
      <c r="O193">
        <f t="shared" si="20"/>
        <v>449.4137119319202</v>
      </c>
      <c r="P193">
        <f t="shared" si="21"/>
        <v>625</v>
      </c>
      <c r="Q193">
        <f t="shared" si="22"/>
        <v>38.893095671510309</v>
      </c>
      <c r="R193">
        <f t="shared" si="23"/>
        <v>182.25371089292958</v>
      </c>
      <c r="S193">
        <f t="shared" si="24"/>
        <v>186.89241584429448</v>
      </c>
      <c r="T193">
        <f t="shared" si="25"/>
        <v>259.91142860451657</v>
      </c>
      <c r="U193">
        <f t="shared" si="26"/>
        <v>25.081019822601725</v>
      </c>
    </row>
    <row r="194" spans="12:21" x14ac:dyDescent="0.55000000000000004">
      <c r="L194">
        <v>188</v>
      </c>
      <c r="M194">
        <f t="shared" si="18"/>
        <v>2.3624776754995245</v>
      </c>
      <c r="N194">
        <f t="shared" si="19"/>
        <v>449.41371193192049</v>
      </c>
      <c r="O194">
        <f t="shared" si="20"/>
        <v>438.2591789813336</v>
      </c>
      <c r="P194">
        <f t="shared" si="21"/>
        <v>625</v>
      </c>
      <c r="Q194">
        <f t="shared" si="22"/>
        <v>38.893095671510309</v>
      </c>
      <c r="R194">
        <f t="shared" si="23"/>
        <v>186.89241584429459</v>
      </c>
      <c r="S194">
        <f t="shared" si="24"/>
        <v>182.25371089292949</v>
      </c>
      <c r="T194">
        <f t="shared" si="25"/>
        <v>259.91142860451657</v>
      </c>
      <c r="U194">
        <f t="shared" si="26"/>
        <v>25.081019822601725</v>
      </c>
    </row>
    <row r="195" spans="12:21" x14ac:dyDescent="0.55000000000000004">
      <c r="L195">
        <v>189</v>
      </c>
      <c r="M195">
        <f t="shared" si="18"/>
        <v>2.3750440461138838</v>
      </c>
      <c r="N195">
        <f t="shared" si="19"/>
        <v>460.56472216146182</v>
      </c>
      <c r="O195">
        <f t="shared" si="20"/>
        <v>427.10816875179228</v>
      </c>
      <c r="P195">
        <f t="shared" si="21"/>
        <v>625</v>
      </c>
      <c r="Q195">
        <f t="shared" si="22"/>
        <v>38.893095671510309</v>
      </c>
      <c r="R195">
        <f t="shared" si="23"/>
        <v>191.52965584292446</v>
      </c>
      <c r="S195">
        <f t="shared" si="24"/>
        <v>177.61647089429962</v>
      </c>
      <c r="T195">
        <f t="shared" si="25"/>
        <v>259.91142860451657</v>
      </c>
      <c r="U195">
        <f t="shared" si="26"/>
        <v>25.081019822601725</v>
      </c>
    </row>
    <row r="196" spans="12:21" x14ac:dyDescent="0.55000000000000004">
      <c r="L196">
        <v>190</v>
      </c>
      <c r="M196">
        <f t="shared" si="18"/>
        <v>2.387610416728243</v>
      </c>
      <c r="N196">
        <f t="shared" si="19"/>
        <v>471.70516645289251</v>
      </c>
      <c r="O196">
        <f t="shared" si="20"/>
        <v>415.96772446036147</v>
      </c>
      <c r="P196">
        <f t="shared" si="21"/>
        <v>625</v>
      </c>
      <c r="Q196">
        <f t="shared" si="22"/>
        <v>38.893095671510309</v>
      </c>
      <c r="R196">
        <f t="shared" si="23"/>
        <v>196.16250190864412</v>
      </c>
      <c r="S196">
        <f t="shared" si="24"/>
        <v>172.98362482857991</v>
      </c>
      <c r="T196">
        <f t="shared" si="25"/>
        <v>259.91142860451657</v>
      </c>
      <c r="U196">
        <f t="shared" si="26"/>
        <v>25.081019822601721</v>
      </c>
    </row>
    <row r="197" spans="12:21" x14ac:dyDescent="0.55000000000000004">
      <c r="L197">
        <v>191</v>
      </c>
      <c r="M197">
        <f t="shared" si="18"/>
        <v>2.4001767873426019</v>
      </c>
      <c r="N197">
        <f t="shared" si="19"/>
        <v>482.82800826282022</v>
      </c>
      <c r="O197">
        <f t="shared" si="20"/>
        <v>404.84488265043382</v>
      </c>
      <c r="P197">
        <f t="shared" si="21"/>
        <v>625</v>
      </c>
      <c r="Q197">
        <f t="shared" si="22"/>
        <v>38.893095671510309</v>
      </c>
      <c r="R197">
        <f t="shared" si="23"/>
        <v>200.78802783658068</v>
      </c>
      <c r="S197">
        <f t="shared" si="24"/>
        <v>168.35809890064337</v>
      </c>
      <c r="T197">
        <f t="shared" si="25"/>
        <v>259.91142860451657</v>
      </c>
      <c r="U197">
        <f t="shared" si="26"/>
        <v>25.081019822601725</v>
      </c>
    </row>
    <row r="198" spans="12:21" x14ac:dyDescent="0.55000000000000004">
      <c r="L198">
        <v>192</v>
      </c>
      <c r="M198">
        <f t="shared" si="18"/>
        <v>2.4127431579569611</v>
      </c>
      <c r="N198">
        <f t="shared" si="19"/>
        <v>493.92622216595817</v>
      </c>
      <c r="O198">
        <f t="shared" si="20"/>
        <v>393.74666874729587</v>
      </c>
      <c r="P198">
        <f t="shared" si="21"/>
        <v>625</v>
      </c>
      <c r="Q198">
        <f t="shared" si="22"/>
        <v>38.893095671510309</v>
      </c>
      <c r="R198">
        <f t="shared" si="23"/>
        <v>205.40331204541761</v>
      </c>
      <c r="S198">
        <f t="shared" si="24"/>
        <v>163.74281469180644</v>
      </c>
      <c r="T198">
        <f t="shared" si="25"/>
        <v>259.91142860451657</v>
      </c>
      <c r="U198">
        <f t="shared" si="26"/>
        <v>25.081019822601725</v>
      </c>
    </row>
    <row r="199" spans="12:21" x14ac:dyDescent="0.55000000000000004">
      <c r="L199">
        <v>193</v>
      </c>
      <c r="M199">
        <f t="shared" ref="M199:M262" si="27">2*PI()*L199/500</f>
        <v>2.4253095285713204</v>
      </c>
      <c r="N199">
        <f t="shared" ref="N199:N206" si="28">$C$16^2*$C$3^2*COS(M199)^2</f>
        <v>504.99279829253226</v>
      </c>
      <c r="O199">
        <f t="shared" ref="O199:O206" si="29">$C$16^2*$C$3^2*SIN(M199)^2</f>
        <v>382.68009262072184</v>
      </c>
      <c r="P199">
        <f t="shared" ref="P199:P206" si="30">($C$3^2-$C$15*$C$3*SIN(M199))^2</f>
        <v>625</v>
      </c>
      <c r="Q199">
        <f t="shared" ref="Q199:Q206" si="31">SQRT(N199+O199+P199)</f>
        <v>38.893095671510309</v>
      </c>
      <c r="R199">
        <f t="shared" ref="R199:R206" si="32">$C$45^2*$C$28^2*COS(M199)^2</f>
        <v>210.00543942272722</v>
      </c>
      <c r="S199">
        <f t="shared" ref="S199:S262" si="33">$C$45^2*$C$27^2*SIN(M199)^2</f>
        <v>159.14068731449686</v>
      </c>
      <c r="T199">
        <f t="shared" ref="T199:T206" si="34">($C$27*$C$28-$C$44*$C$27*SIN(M199))^2</f>
        <v>259.91142860451657</v>
      </c>
      <c r="U199">
        <f t="shared" ref="U199:U206" si="35">SQRT(R199+S199+T199)</f>
        <v>25.081019822601725</v>
      </c>
    </row>
    <row r="200" spans="12:21" x14ac:dyDescent="0.55000000000000004">
      <c r="L200">
        <v>194</v>
      </c>
      <c r="M200">
        <f t="shared" si="27"/>
        <v>2.4378758991856793</v>
      </c>
      <c r="N200">
        <f t="shared" si="28"/>
        <v>516.02074675586618</v>
      </c>
      <c r="O200">
        <f t="shared" si="29"/>
        <v>371.65214415738791</v>
      </c>
      <c r="P200">
        <f t="shared" si="30"/>
        <v>625</v>
      </c>
      <c r="Q200">
        <f t="shared" si="31"/>
        <v>38.893095671510309</v>
      </c>
      <c r="R200">
        <f t="shared" si="32"/>
        <v>214.59150316621859</v>
      </c>
      <c r="S200">
        <f t="shared" si="33"/>
        <v>154.55462357100549</v>
      </c>
      <c r="T200">
        <f t="shared" si="34"/>
        <v>259.91142860451657</v>
      </c>
      <c r="U200">
        <f t="shared" si="35"/>
        <v>25.081019822601725</v>
      </c>
    </row>
    <row r="201" spans="12:21" x14ac:dyDescent="0.55000000000000004">
      <c r="L201">
        <v>195</v>
      </c>
      <c r="M201">
        <f t="shared" si="27"/>
        <v>2.4504422698000385</v>
      </c>
      <c r="N201">
        <f t="shared" si="28"/>
        <v>527.00310206734491</v>
      </c>
      <c r="O201">
        <f t="shared" si="29"/>
        <v>360.66978884590912</v>
      </c>
      <c r="P201">
        <f t="shared" si="30"/>
        <v>625</v>
      </c>
      <c r="Q201">
        <f t="shared" si="31"/>
        <v>38.893095671510309</v>
      </c>
      <c r="R201">
        <f t="shared" si="32"/>
        <v>219.15860661973676</v>
      </c>
      <c r="S201">
        <f t="shared" si="33"/>
        <v>149.98752011748732</v>
      </c>
      <c r="T201">
        <f t="shared" si="34"/>
        <v>259.91142860451657</v>
      </c>
      <c r="U201">
        <f t="shared" si="35"/>
        <v>25.081019822601725</v>
      </c>
    </row>
    <row r="202" spans="12:21" x14ac:dyDescent="0.55000000000000004">
      <c r="L202">
        <v>196</v>
      </c>
      <c r="M202">
        <f t="shared" si="27"/>
        <v>2.4630086404143978</v>
      </c>
      <c r="N202">
        <f t="shared" si="28"/>
        <v>537.93292753596404</v>
      </c>
      <c r="O202">
        <f t="shared" si="29"/>
        <v>349.73996337729</v>
      </c>
      <c r="P202">
        <f t="shared" si="30"/>
        <v>625</v>
      </c>
      <c r="Q202">
        <f t="shared" si="31"/>
        <v>38.893095671510309</v>
      </c>
      <c r="R202">
        <f t="shared" si="32"/>
        <v>223.70386510285167</v>
      </c>
      <c r="S202">
        <f t="shared" si="33"/>
        <v>145.44226163437239</v>
      </c>
      <c r="T202">
        <f t="shared" si="34"/>
        <v>259.91142860451657</v>
      </c>
      <c r="U202">
        <f t="shared" si="35"/>
        <v>25.081019822601725</v>
      </c>
    </row>
    <row r="203" spans="12:21" x14ac:dyDescent="0.55000000000000004">
      <c r="L203">
        <v>197</v>
      </c>
      <c r="M203">
        <f t="shared" si="27"/>
        <v>2.4755750110287567</v>
      </c>
      <c r="N203">
        <f t="shared" si="28"/>
        <v>548.803319649694</v>
      </c>
      <c r="O203">
        <f t="shared" si="29"/>
        <v>338.86957126355998</v>
      </c>
      <c r="P203">
        <f t="shared" si="30"/>
        <v>625</v>
      </c>
      <c r="Q203">
        <f t="shared" si="31"/>
        <v>38.893095671510309</v>
      </c>
      <c r="R203">
        <f t="shared" si="32"/>
        <v>228.22440773288497</v>
      </c>
      <c r="S203">
        <f t="shared" si="33"/>
        <v>140.92171900433905</v>
      </c>
      <c r="T203">
        <f t="shared" si="34"/>
        <v>259.91142860451657</v>
      </c>
      <c r="U203">
        <f t="shared" si="35"/>
        <v>25.081019822601721</v>
      </c>
    </row>
    <row r="204" spans="12:21" x14ac:dyDescent="0.55000000000000004">
      <c r="L204">
        <v>198</v>
      </c>
      <c r="M204">
        <f t="shared" si="27"/>
        <v>2.4881413816431164</v>
      </c>
      <c r="N204">
        <f t="shared" si="28"/>
        <v>559.60741243588734</v>
      </c>
      <c r="O204">
        <f t="shared" si="29"/>
        <v>328.06547847736664</v>
      </c>
      <c r="P204">
        <f t="shared" si="30"/>
        <v>625</v>
      </c>
      <c r="Q204">
        <f t="shared" si="31"/>
        <v>38.893095671510309</v>
      </c>
      <c r="R204">
        <f t="shared" si="32"/>
        <v>232.71737923822138</v>
      </c>
      <c r="S204">
        <f t="shared" si="33"/>
        <v>136.42874749900261</v>
      </c>
      <c r="T204">
        <f t="shared" si="34"/>
        <v>259.91142860451657</v>
      </c>
      <c r="U204">
        <f t="shared" si="35"/>
        <v>25.081019822601721</v>
      </c>
    </row>
    <row r="205" spans="12:21" x14ac:dyDescent="0.55000000000000004">
      <c r="L205">
        <v>199</v>
      </c>
      <c r="M205">
        <f t="shared" si="27"/>
        <v>2.5007077522574757</v>
      </c>
      <c r="N205">
        <f t="shared" si="28"/>
        <v>570.3383817979709</v>
      </c>
      <c r="O205">
        <f t="shared" si="29"/>
        <v>317.3345091152832</v>
      </c>
      <c r="P205">
        <f t="shared" si="30"/>
        <v>625</v>
      </c>
      <c r="Q205">
        <f t="shared" si="31"/>
        <v>38.893095671510309</v>
      </c>
      <c r="R205">
        <f t="shared" si="32"/>
        <v>237.1799417617581</v>
      </c>
      <c r="S205">
        <f t="shared" si="33"/>
        <v>131.96618497546598</v>
      </c>
      <c r="T205">
        <f t="shared" si="34"/>
        <v>259.91142860451657</v>
      </c>
      <c r="U205">
        <f t="shared" si="35"/>
        <v>25.081019822601725</v>
      </c>
    </row>
    <row r="206" spans="12:21" x14ac:dyDescent="0.55000000000000004">
      <c r="L206">
        <v>200</v>
      </c>
      <c r="M206">
        <f t="shared" si="27"/>
        <v>2.5132741228718345</v>
      </c>
      <c r="N206">
        <f t="shared" si="28"/>
        <v>580.98944982569412</v>
      </c>
      <c r="O206">
        <f t="shared" si="29"/>
        <v>306.68344108755997</v>
      </c>
      <c r="P206">
        <f t="shared" si="30"/>
        <v>625</v>
      </c>
      <c r="Q206">
        <f t="shared" si="31"/>
        <v>38.893095671510309</v>
      </c>
      <c r="R206">
        <f t="shared" si="32"/>
        <v>241.6092766533572</v>
      </c>
      <c r="S206">
        <f t="shared" si="33"/>
        <v>127.53685008386688</v>
      </c>
      <c r="T206">
        <f t="shared" si="34"/>
        <v>259.91142860451657</v>
      </c>
      <c r="U206">
        <f t="shared" si="35"/>
        <v>25.081019822601725</v>
      </c>
    </row>
    <row r="207" spans="12:21" x14ac:dyDescent="0.55000000000000004">
      <c r="L207">
        <v>201</v>
      </c>
      <c r="M207">
        <f t="shared" si="27"/>
        <v>2.5258404934861938</v>
      </c>
      <c r="N207">
        <f t="shared" ref="N207:N270" si="36">$C$16^2*$C$3^2*COS(M207)^2</f>
        <v>591.55388907620306</v>
      </c>
      <c r="O207">
        <f t="shared" ref="O207:O270" si="37">$C$16^2*$C$3^2*SIN(M207)^2</f>
        <v>296.11900183705103</v>
      </c>
      <c r="P207">
        <f t="shared" ref="P207:P270" si="38">($C$3^2-$C$15*$C$3*SIN(M207))^2</f>
        <v>625</v>
      </c>
      <c r="Q207">
        <f t="shared" ref="Q207:Q270" si="39">SQRT(N207+O207+P207)</f>
        <v>38.893095671510309</v>
      </c>
      <c r="R207">
        <f t="shared" ref="R207:R270" si="40">$C$45^2*$C$28^2*COS(M207)^2</f>
        <v>246.00258625016585</v>
      </c>
      <c r="S207">
        <f t="shared" si="33"/>
        <v>123.14354048705823</v>
      </c>
      <c r="T207">
        <f t="shared" ref="T207:T270" si="41">($C$27*$C$28-$C$44*$C$27*SIN(M207))^2</f>
        <v>259.91142860451657</v>
      </c>
      <c r="U207">
        <f t="shared" ref="U207:U270" si="42">SQRT(R207+S207+T207)</f>
        <v>25.081019822601725</v>
      </c>
    </row>
    <row r="208" spans="12:21" x14ac:dyDescent="0.55000000000000004">
      <c r="L208">
        <v>202</v>
      </c>
      <c r="M208">
        <f t="shared" si="27"/>
        <v>2.5384068641005531</v>
      </c>
      <c r="N208">
        <f t="shared" si="36"/>
        <v>602.02502682323473</v>
      </c>
      <c r="O208">
        <f t="shared" si="37"/>
        <v>285.64786409001931</v>
      </c>
      <c r="P208">
        <f t="shared" si="38"/>
        <v>625</v>
      </c>
      <c r="Q208">
        <f t="shared" si="39"/>
        <v>38.893095671510309</v>
      </c>
      <c r="R208">
        <f t="shared" si="40"/>
        <v>250.35709564367895</v>
      </c>
      <c r="S208">
        <f t="shared" si="33"/>
        <v>118.78903109354511</v>
      </c>
      <c r="T208">
        <f t="shared" si="41"/>
        <v>259.91142860451657</v>
      </c>
      <c r="U208">
        <f t="shared" si="42"/>
        <v>25.081019822601725</v>
      </c>
    </row>
    <row r="209" spans="12:21" x14ac:dyDescent="0.55000000000000004">
      <c r="L209">
        <v>203</v>
      </c>
      <c r="M209">
        <f t="shared" si="27"/>
        <v>2.5509732347149119</v>
      </c>
      <c r="N209">
        <f t="shared" si="36"/>
        <v>612.39624927175589</v>
      </c>
      <c r="O209">
        <f t="shared" si="37"/>
        <v>275.27664164149814</v>
      </c>
      <c r="P209">
        <f t="shared" si="38"/>
        <v>625</v>
      </c>
      <c r="Q209">
        <f t="shared" si="39"/>
        <v>38.893095671510309</v>
      </c>
      <c r="R209">
        <f t="shared" si="40"/>
        <v>254.67005443243153</v>
      </c>
      <c r="S209">
        <f t="shared" si="33"/>
        <v>114.47607230479252</v>
      </c>
      <c r="T209">
        <f t="shared" si="41"/>
        <v>259.91142860451657</v>
      </c>
      <c r="U209">
        <f t="shared" si="42"/>
        <v>25.081019822601725</v>
      </c>
    </row>
    <row r="210" spans="12:21" x14ac:dyDescent="0.55000000000000004">
      <c r="L210">
        <v>204</v>
      </c>
      <c r="M210">
        <f t="shared" si="27"/>
        <v>2.5635396053292712</v>
      </c>
      <c r="N210">
        <f t="shared" si="36"/>
        <v>622.66100573537801</v>
      </c>
      <c r="O210">
        <f t="shared" si="37"/>
        <v>265.01188517787614</v>
      </c>
      <c r="P210">
        <f t="shared" si="38"/>
        <v>625</v>
      </c>
      <c r="Q210">
        <f t="shared" si="39"/>
        <v>38.893095671510309</v>
      </c>
      <c r="R210">
        <f t="shared" si="40"/>
        <v>258.93873845921144</v>
      </c>
      <c r="S210">
        <f t="shared" si="33"/>
        <v>110.20738827801262</v>
      </c>
      <c r="T210">
        <f t="shared" si="41"/>
        <v>259.91142860451657</v>
      </c>
      <c r="U210">
        <f t="shared" si="42"/>
        <v>25.081019822601725</v>
      </c>
    </row>
    <row r="211" spans="12:21" x14ac:dyDescent="0.55000000000000004">
      <c r="L211">
        <v>205</v>
      </c>
      <c r="M211">
        <f t="shared" si="27"/>
        <v>2.5761059759436304</v>
      </c>
      <c r="N211">
        <f t="shared" si="36"/>
        <v>632.81281277390963</v>
      </c>
      <c r="O211">
        <f t="shared" si="37"/>
        <v>254.86007813934441</v>
      </c>
      <c r="P211">
        <f t="shared" si="38"/>
        <v>625</v>
      </c>
      <c r="Q211">
        <f t="shared" si="39"/>
        <v>38.893095671510309</v>
      </c>
      <c r="R211">
        <f t="shared" si="40"/>
        <v>263.16045153169489</v>
      </c>
      <c r="S211">
        <f t="shared" si="33"/>
        <v>105.98567520552915</v>
      </c>
      <c r="T211">
        <f t="shared" si="41"/>
        <v>259.91142860451657</v>
      </c>
      <c r="U211">
        <f t="shared" si="42"/>
        <v>25.081019822601725</v>
      </c>
    </row>
    <row r="212" spans="12:21" x14ac:dyDescent="0.55000000000000004">
      <c r="L212">
        <v>206</v>
      </c>
      <c r="M212">
        <f t="shared" si="27"/>
        <v>2.5886723465579893</v>
      </c>
      <c r="N212">
        <f t="shared" si="36"/>
        <v>642.84525828843744</v>
      </c>
      <c r="O212">
        <f t="shared" si="37"/>
        <v>244.82763262481674</v>
      </c>
      <c r="P212">
        <f t="shared" si="38"/>
        <v>625</v>
      </c>
      <c r="Q212">
        <f t="shared" si="39"/>
        <v>38.893095671510309</v>
      </c>
      <c r="R212">
        <f t="shared" si="40"/>
        <v>267.33252712541952</v>
      </c>
      <c r="S212">
        <f t="shared" si="33"/>
        <v>101.81359961180458</v>
      </c>
      <c r="T212">
        <f t="shared" si="41"/>
        <v>259.91142860451657</v>
      </c>
      <c r="U212">
        <f t="shared" si="42"/>
        <v>25.081019822601725</v>
      </c>
    </row>
    <row r="213" spans="12:21" x14ac:dyDescent="0.55000000000000004">
      <c r="L213">
        <v>207</v>
      </c>
      <c r="M213">
        <f t="shared" si="27"/>
        <v>2.6012387171723486</v>
      </c>
      <c r="N213">
        <f t="shared" si="36"/>
        <v>652.75200557134519</v>
      </c>
      <c r="O213">
        <f t="shared" si="37"/>
        <v>234.92088534190873</v>
      </c>
      <c r="P213">
        <f t="shared" si="38"/>
        <v>625</v>
      </c>
      <c r="Q213">
        <f t="shared" si="39"/>
        <v>38.893095671510309</v>
      </c>
      <c r="R213">
        <f t="shared" si="40"/>
        <v>271.45233006801868</v>
      </c>
      <c r="S213">
        <f t="shared" si="33"/>
        <v>97.693796669205327</v>
      </c>
      <c r="T213">
        <f t="shared" si="41"/>
        <v>259.91142860451657</v>
      </c>
      <c r="U213">
        <f t="shared" si="42"/>
        <v>25.081019822601721</v>
      </c>
    </row>
    <row r="214" spans="12:21" x14ac:dyDescent="0.55000000000000004">
      <c r="L214">
        <v>208</v>
      </c>
      <c r="M214">
        <f t="shared" si="27"/>
        <v>2.6138050877867083</v>
      </c>
      <c r="N214">
        <f t="shared" si="36"/>
        <v>662.52679730871444</v>
      </c>
      <c r="O214">
        <f t="shared" si="37"/>
        <v>225.14609360453963</v>
      </c>
      <c r="P214">
        <f t="shared" si="38"/>
        <v>625</v>
      </c>
      <c r="Q214">
        <f t="shared" si="39"/>
        <v>38.893095671510309</v>
      </c>
      <c r="R214">
        <f t="shared" si="40"/>
        <v>275.51725820365272</v>
      </c>
      <c r="S214">
        <f t="shared" si="33"/>
        <v>93.628868533571364</v>
      </c>
      <c r="T214">
        <f t="shared" si="41"/>
        <v>259.91142860451657</v>
      </c>
      <c r="U214">
        <f t="shared" si="42"/>
        <v>25.081019822601725</v>
      </c>
    </row>
    <row r="215" spans="12:21" x14ac:dyDescent="0.55000000000000004">
      <c r="L215">
        <v>209</v>
      </c>
      <c r="M215">
        <f t="shared" si="27"/>
        <v>2.6263714584010671</v>
      </c>
      <c r="N215">
        <f t="shared" si="36"/>
        <v>672.1634595325753</v>
      </c>
      <c r="O215">
        <f t="shared" si="37"/>
        <v>215.50943138067885</v>
      </c>
      <c r="P215">
        <f t="shared" si="38"/>
        <v>625</v>
      </c>
      <c r="Q215">
        <f t="shared" si="39"/>
        <v>38.893095671510309</v>
      </c>
      <c r="R215">
        <f t="shared" si="40"/>
        <v>279.52474403658528</v>
      </c>
      <c r="S215">
        <f t="shared" si="33"/>
        <v>89.621382700638819</v>
      </c>
      <c r="T215">
        <f t="shared" si="41"/>
        <v>259.91142860451657</v>
      </c>
      <c r="U215">
        <f t="shared" si="42"/>
        <v>25.081019822601725</v>
      </c>
    </row>
    <row r="216" spans="12:21" x14ac:dyDescent="0.55000000000000004">
      <c r="L216">
        <v>210</v>
      </c>
      <c r="M216">
        <f t="shared" si="27"/>
        <v>2.6389378290154264</v>
      </c>
      <c r="N216">
        <f t="shared" si="36"/>
        <v>681.65590552052174</v>
      </c>
      <c r="O216">
        <f t="shared" si="37"/>
        <v>206.01698539273227</v>
      </c>
      <c r="P216">
        <f t="shared" si="38"/>
        <v>625</v>
      </c>
      <c r="Q216">
        <f t="shared" si="39"/>
        <v>38.893095671510309</v>
      </c>
      <c r="R216">
        <f t="shared" si="40"/>
        <v>283.47225635287066</v>
      </c>
      <c r="S216">
        <f t="shared" si="33"/>
        <v>85.673870384353378</v>
      </c>
      <c r="T216">
        <f t="shared" si="41"/>
        <v>259.91142860451657</v>
      </c>
      <c r="U216">
        <f t="shared" si="42"/>
        <v>25.081019822601725</v>
      </c>
    </row>
    <row r="217" spans="12:21" x14ac:dyDescent="0.55000000000000004">
      <c r="L217">
        <v>211</v>
      </c>
      <c r="M217">
        <f t="shared" si="27"/>
        <v>2.6515041996297857</v>
      </c>
      <c r="N217">
        <f t="shared" si="36"/>
        <v>690.99813964021234</v>
      </c>
      <c r="O217">
        <f t="shared" si="37"/>
        <v>196.67475127304169</v>
      </c>
      <c r="P217">
        <f t="shared" si="38"/>
        <v>625</v>
      </c>
      <c r="Q217">
        <f t="shared" si="39"/>
        <v>38.893095671510309</v>
      </c>
      <c r="R217">
        <f t="shared" si="40"/>
        <v>287.35730181912129</v>
      </c>
      <c r="S217">
        <f t="shared" si="33"/>
        <v>81.788824918102762</v>
      </c>
      <c r="T217">
        <f t="shared" si="41"/>
        <v>259.91142860451657</v>
      </c>
      <c r="U217">
        <f t="shared" si="42"/>
        <v>25.081019822601725</v>
      </c>
    </row>
    <row r="218" spans="12:21" x14ac:dyDescent="0.55000000000000004">
      <c r="L218">
        <v>212</v>
      </c>
      <c r="M218">
        <f t="shared" si="27"/>
        <v>2.6640705702441445</v>
      </c>
      <c r="N218">
        <f t="shared" si="36"/>
        <v>700.18426113634087</v>
      </c>
      <c r="O218">
        <f t="shared" si="37"/>
        <v>187.48862977691323</v>
      </c>
      <c r="P218">
        <f t="shared" si="38"/>
        <v>625</v>
      </c>
      <c r="Q218">
        <f t="shared" si="39"/>
        <v>38.893095671510309</v>
      </c>
      <c r="R218">
        <f t="shared" si="40"/>
        <v>291.17742655735077</v>
      </c>
      <c r="S218">
        <f t="shared" si="33"/>
        <v>77.968700179873309</v>
      </c>
      <c r="T218">
        <f t="shared" si="41"/>
        <v>259.91142860451657</v>
      </c>
      <c r="U218">
        <f t="shared" si="42"/>
        <v>25.081019822601725</v>
      </c>
    </row>
    <row r="219" spans="12:21" x14ac:dyDescent="0.55000000000000004">
      <c r="L219">
        <v>213</v>
      </c>
      <c r="M219">
        <f t="shared" si="27"/>
        <v>2.6766369408585038</v>
      </c>
      <c r="N219">
        <f t="shared" si="36"/>
        <v>709.20846785768106</v>
      </c>
      <c r="O219">
        <f t="shared" si="37"/>
        <v>178.46442305557306</v>
      </c>
      <c r="P219">
        <f t="shared" si="38"/>
        <v>625</v>
      </c>
      <c r="Q219">
        <f t="shared" si="39"/>
        <v>38.893095671510309</v>
      </c>
      <c r="R219">
        <f t="shared" si="40"/>
        <v>294.93021769489638</v>
      </c>
      <c r="S219">
        <f t="shared" si="33"/>
        <v>74.215909042327709</v>
      </c>
      <c r="T219">
        <f t="shared" si="41"/>
        <v>259.91142860451657</v>
      </c>
      <c r="U219">
        <f t="shared" si="42"/>
        <v>25.081019822601725</v>
      </c>
    </row>
    <row r="220" spans="12:21" x14ac:dyDescent="0.55000000000000004">
      <c r="L220">
        <v>214</v>
      </c>
      <c r="M220">
        <f t="shared" si="27"/>
        <v>2.6892033114728631</v>
      </c>
      <c r="N220">
        <f t="shared" si="36"/>
        <v>718.06505992184793</v>
      </c>
      <c r="O220">
        <f t="shared" si="37"/>
        <v>169.60783099140616</v>
      </c>
      <c r="P220">
        <f t="shared" si="38"/>
        <v>625</v>
      </c>
      <c r="Q220">
        <f t="shared" si="39"/>
        <v>38.893095671510309</v>
      </c>
      <c r="R220">
        <f t="shared" si="40"/>
        <v>298.61330488844044</v>
      </c>
      <c r="S220">
        <f t="shared" si="33"/>
        <v>70.532821848783627</v>
      </c>
      <c r="T220">
        <f t="shared" si="41"/>
        <v>259.91142860451657</v>
      </c>
      <c r="U220">
        <f t="shared" si="42"/>
        <v>25.081019822601725</v>
      </c>
    </row>
    <row r="221" spans="12:21" x14ac:dyDescent="0.55000000000000004">
      <c r="L221">
        <v>215</v>
      </c>
      <c r="M221">
        <f t="shared" si="27"/>
        <v>2.7017696820872219</v>
      </c>
      <c r="N221">
        <f t="shared" si="36"/>
        <v>726.7484433154666</v>
      </c>
      <c r="O221">
        <f t="shared" si="37"/>
        <v>160.92444759778729</v>
      </c>
      <c r="P221">
        <f t="shared" si="38"/>
        <v>625</v>
      </c>
      <c r="Q221">
        <f t="shared" si="39"/>
        <v>38.893095671510309</v>
      </c>
      <c r="R221">
        <f t="shared" si="40"/>
        <v>302.22436182117031</v>
      </c>
      <c r="S221">
        <f t="shared" si="33"/>
        <v>66.921764916053689</v>
      </c>
      <c r="T221">
        <f t="shared" si="41"/>
        <v>259.91142860451657</v>
      </c>
      <c r="U221">
        <f t="shared" si="42"/>
        <v>25.081019822601721</v>
      </c>
    </row>
    <row r="222" spans="12:21" x14ac:dyDescent="0.55000000000000004">
      <c r="L222">
        <v>216</v>
      </c>
      <c r="M222">
        <f t="shared" si="27"/>
        <v>2.7143360527015812</v>
      </c>
      <c r="N222">
        <f t="shared" si="36"/>
        <v>735.25313342747233</v>
      </c>
      <c r="O222">
        <f t="shared" si="37"/>
        <v>152.41975748578187</v>
      </c>
      <c r="P222">
        <f t="shared" si="38"/>
        <v>625</v>
      </c>
      <c r="Q222">
        <f t="shared" si="39"/>
        <v>38.893095671510309</v>
      </c>
      <c r="R222">
        <f t="shared" si="40"/>
        <v>305.76110767213049</v>
      </c>
      <c r="S222">
        <f t="shared" si="33"/>
        <v>63.385019065093637</v>
      </c>
      <c r="T222">
        <f t="shared" si="41"/>
        <v>259.91142860451657</v>
      </c>
      <c r="U222">
        <f t="shared" si="42"/>
        <v>25.081019822601725</v>
      </c>
    </row>
    <row r="223" spans="12:21" x14ac:dyDescent="0.55000000000000004">
      <c r="L223">
        <v>217</v>
      </c>
      <c r="M223">
        <f t="shared" si="27"/>
        <v>2.7269024233159405</v>
      </c>
      <c r="N223">
        <f t="shared" si="36"/>
        <v>743.57375851330482</v>
      </c>
      <c r="O223">
        <f t="shared" si="37"/>
        <v>144.09913239994924</v>
      </c>
      <c r="P223">
        <f t="shared" si="38"/>
        <v>625</v>
      </c>
      <c r="Q223">
        <f t="shared" si="39"/>
        <v>38.893095671510309</v>
      </c>
      <c r="R223">
        <f t="shared" si="40"/>
        <v>309.22130855683656</v>
      </c>
      <c r="S223">
        <f t="shared" si="33"/>
        <v>59.924818180387497</v>
      </c>
      <c r="T223">
        <f t="shared" si="41"/>
        <v>259.91142860451657</v>
      </c>
      <c r="U223">
        <f t="shared" si="42"/>
        <v>25.081019822601725</v>
      </c>
    </row>
    <row r="224" spans="12:21" x14ac:dyDescent="0.55000000000000004">
      <c r="L224">
        <v>218</v>
      </c>
      <c r="M224">
        <f t="shared" si="27"/>
        <v>2.7394687939302993</v>
      </c>
      <c r="N224">
        <f t="shared" si="36"/>
        <v>751.70506308782069</v>
      </c>
      <c r="O224">
        <f t="shared" si="37"/>
        <v>135.96782782543326</v>
      </c>
      <c r="P224">
        <f t="shared" si="38"/>
        <v>625</v>
      </c>
      <c r="Q224">
        <f t="shared" si="39"/>
        <v>38.893095671510309</v>
      </c>
      <c r="R224">
        <f t="shared" si="40"/>
        <v>312.60277893824599</v>
      </c>
      <c r="S224">
        <f t="shared" si="33"/>
        <v>56.543347798978076</v>
      </c>
      <c r="T224">
        <f t="shared" si="41"/>
        <v>259.91142860451657</v>
      </c>
      <c r="U224">
        <f t="shared" si="42"/>
        <v>25.081019822601725</v>
      </c>
    </row>
    <row r="225" spans="12:21" x14ac:dyDescent="0.55000000000000004">
      <c r="L225">
        <v>219</v>
      </c>
      <c r="M225">
        <f t="shared" si="27"/>
        <v>2.752035164544659</v>
      </c>
      <c r="N225">
        <f t="shared" si="36"/>
        <v>759.64191124477031</v>
      </c>
      <c r="O225">
        <f t="shared" si="37"/>
        <v>128.03097966848381</v>
      </c>
      <c r="P225">
        <f t="shared" si="38"/>
        <v>625</v>
      </c>
      <c r="Q225">
        <f t="shared" si="39"/>
        <v>38.893095671510309</v>
      </c>
      <c r="R225">
        <f t="shared" si="40"/>
        <v>315.9033830071898</v>
      </c>
      <c r="S225">
        <f t="shared" si="33"/>
        <v>53.242743730034299</v>
      </c>
      <c r="T225">
        <f t="shared" si="41"/>
        <v>259.91142860451657</v>
      </c>
      <c r="U225">
        <f t="shared" si="42"/>
        <v>25.081019822601725</v>
      </c>
    </row>
    <row r="226" spans="12:21" x14ac:dyDescent="0.55000000000000004">
      <c r="L226">
        <v>220</v>
      </c>
      <c r="M226">
        <f t="shared" si="27"/>
        <v>2.7646015351590183</v>
      </c>
      <c r="N226">
        <f t="shared" si="36"/>
        <v>767.37928990074272</v>
      </c>
      <c r="O226">
        <f t="shared" si="37"/>
        <v>120.2936010125113</v>
      </c>
      <c r="P226">
        <f t="shared" si="38"/>
        <v>625</v>
      </c>
      <c r="Q226">
        <f t="shared" si="39"/>
        <v>38.893095671510309</v>
      </c>
      <c r="R226">
        <f t="shared" si="40"/>
        <v>319.1210360313944</v>
      </c>
      <c r="S226">
        <f t="shared" si="33"/>
        <v>50.025090705829648</v>
      </c>
      <c r="T226">
        <f t="shared" si="41"/>
        <v>259.91142860451657</v>
      </c>
      <c r="U226">
        <f t="shared" si="42"/>
        <v>25.081019822601725</v>
      </c>
    </row>
    <row r="227" spans="12:21" x14ac:dyDescent="0.55000000000000004">
      <c r="L227">
        <v>221</v>
      </c>
      <c r="M227">
        <f t="shared" si="27"/>
        <v>2.7771679057733771</v>
      </c>
      <c r="N227">
        <f t="shared" si="36"/>
        <v>774.91231196154081</v>
      </c>
      <c r="O227">
        <f t="shared" si="37"/>
        <v>112.76057895171319</v>
      </c>
      <c r="P227">
        <f t="shared" si="38"/>
        <v>625</v>
      </c>
      <c r="Q227">
        <f t="shared" si="39"/>
        <v>38.893095671510309</v>
      </c>
      <c r="R227">
        <f t="shared" si="40"/>
        <v>322.25370567224462</v>
      </c>
      <c r="S227">
        <f t="shared" si="33"/>
        <v>46.892421064979445</v>
      </c>
      <c r="T227">
        <f t="shared" si="41"/>
        <v>259.91142860451657</v>
      </c>
      <c r="U227">
        <f t="shared" si="42"/>
        <v>25.081019822601725</v>
      </c>
    </row>
    <row r="228" spans="12:21" x14ac:dyDescent="0.55000000000000004">
      <c r="L228">
        <v>222</v>
      </c>
      <c r="M228">
        <f t="shared" si="27"/>
        <v>2.7897342763877364</v>
      </c>
      <c r="N228">
        <f t="shared" si="36"/>
        <v>782.23621940897328</v>
      </c>
      <c r="O228">
        <f t="shared" si="37"/>
        <v>105.4366715042808</v>
      </c>
      <c r="P228">
        <f t="shared" si="38"/>
        <v>625</v>
      </c>
      <c r="Q228">
        <f t="shared" si="39"/>
        <v>38.893095671510309</v>
      </c>
      <c r="R228">
        <f t="shared" si="40"/>
        <v>325.29941326845164</v>
      </c>
      <c r="S228">
        <f t="shared" si="33"/>
        <v>43.846713468772386</v>
      </c>
      <c r="T228">
        <f t="shared" si="41"/>
        <v>259.91142860451657</v>
      </c>
      <c r="U228">
        <f t="shared" si="42"/>
        <v>25.081019822601725</v>
      </c>
    </row>
    <row r="229" spans="12:21" x14ac:dyDescent="0.55000000000000004">
      <c r="L229">
        <v>223</v>
      </c>
      <c r="M229">
        <f t="shared" si="27"/>
        <v>2.8023006470020957</v>
      </c>
      <c r="N229">
        <f t="shared" si="36"/>
        <v>789.3463863061196</v>
      </c>
      <c r="O229">
        <f t="shared" si="37"/>
        <v>98.326504607134424</v>
      </c>
      <c r="P229">
        <f t="shared" si="38"/>
        <v>625</v>
      </c>
      <c r="Q229">
        <f t="shared" si="39"/>
        <v>38.893095671510309</v>
      </c>
      <c r="R229">
        <f t="shared" si="40"/>
        <v>328.25623508581782</v>
      </c>
      <c r="S229">
        <f t="shared" si="33"/>
        <v>40.889891651406217</v>
      </c>
      <c r="T229">
        <f t="shared" si="41"/>
        <v>259.91142860451657</v>
      </c>
      <c r="U229">
        <f t="shared" si="42"/>
        <v>25.081019822601725</v>
      </c>
    </row>
    <row r="230" spans="12:21" x14ac:dyDescent="0.55000000000000004">
      <c r="L230">
        <v>224</v>
      </c>
      <c r="M230">
        <f t="shared" si="27"/>
        <v>2.8148670176164545</v>
      </c>
      <c r="N230">
        <f t="shared" si="36"/>
        <v>796.2383217191724</v>
      </c>
      <c r="O230">
        <f t="shared" si="37"/>
        <v>91.434569194081632</v>
      </c>
      <c r="P230">
        <f t="shared" si="38"/>
        <v>625</v>
      </c>
      <c r="Q230">
        <f t="shared" si="39"/>
        <v>38.893095671510309</v>
      </c>
      <c r="R230">
        <f t="shared" si="40"/>
        <v>331.12230353230842</v>
      </c>
      <c r="S230">
        <f t="shared" si="33"/>
        <v>38.023823204915644</v>
      </c>
      <c r="T230">
        <f t="shared" si="41"/>
        <v>259.91142860451657</v>
      </c>
      <c r="U230">
        <f t="shared" si="42"/>
        <v>25.081019822601725</v>
      </c>
    </row>
    <row r="231" spans="12:21" x14ac:dyDescent="0.55000000000000004">
      <c r="L231">
        <v>225</v>
      </c>
      <c r="M231">
        <f t="shared" si="27"/>
        <v>2.8274333882308138</v>
      </c>
      <c r="N231">
        <f t="shared" si="36"/>
        <v>802.9076725540076</v>
      </c>
      <c r="O231">
        <f t="shared" si="37"/>
        <v>84.76521835924639</v>
      </c>
      <c r="P231">
        <f t="shared" si="38"/>
        <v>625</v>
      </c>
      <c r="Q231">
        <f t="shared" si="39"/>
        <v>38.893095671510309</v>
      </c>
      <c r="R231">
        <f t="shared" si="40"/>
        <v>333.8958083376632</v>
      </c>
      <c r="S231">
        <f t="shared" si="33"/>
        <v>35.25031839956084</v>
      </c>
      <c r="T231">
        <f t="shared" si="41"/>
        <v>259.91142860451657</v>
      </c>
      <c r="U231">
        <f t="shared" si="42"/>
        <v>25.081019822601725</v>
      </c>
    </row>
    <row r="232" spans="12:21" x14ac:dyDescent="0.55000000000000004">
      <c r="L232">
        <v>226</v>
      </c>
      <c r="M232">
        <f t="shared" si="27"/>
        <v>2.8399997588451731</v>
      </c>
      <c r="N232">
        <f t="shared" si="36"/>
        <v>809.35022630569085</v>
      </c>
      <c r="O232">
        <f t="shared" si="37"/>
        <v>78.322664607563127</v>
      </c>
      <c r="P232">
        <f t="shared" si="38"/>
        <v>625</v>
      </c>
      <c r="Q232">
        <f t="shared" si="39"/>
        <v>38.893095671510309</v>
      </c>
      <c r="R232">
        <f t="shared" si="40"/>
        <v>336.5749976968014</v>
      </c>
      <c r="S232">
        <f t="shared" si="33"/>
        <v>32.571129040422619</v>
      </c>
      <c r="T232">
        <f t="shared" si="41"/>
        <v>259.91142860451657</v>
      </c>
      <c r="U232">
        <f t="shared" si="42"/>
        <v>25.081019822601721</v>
      </c>
    </row>
    <row r="233" spans="12:21" x14ac:dyDescent="0.55000000000000004">
      <c r="L233">
        <v>227</v>
      </c>
      <c r="M233">
        <f t="shared" si="27"/>
        <v>2.8525661294595319</v>
      </c>
      <c r="N233">
        <f t="shared" si="36"/>
        <v>815.56191371918669</v>
      </c>
      <c r="O233">
        <f t="shared" si="37"/>
        <v>72.110977194067416</v>
      </c>
      <c r="P233">
        <f t="shared" si="38"/>
        <v>625</v>
      </c>
      <c r="Q233">
        <f t="shared" si="39"/>
        <v>38.893095671510309</v>
      </c>
      <c r="R233">
        <f t="shared" si="40"/>
        <v>339.15817937629964</v>
      </c>
      <c r="S233">
        <f t="shared" si="33"/>
        <v>29.987947360924441</v>
      </c>
      <c r="T233">
        <f t="shared" si="41"/>
        <v>259.91142860451657</v>
      </c>
      <c r="U233">
        <f t="shared" si="42"/>
        <v>25.081019822601725</v>
      </c>
    </row>
    <row r="234" spans="12:21" x14ac:dyDescent="0.55000000000000004">
      <c r="L234">
        <v>228</v>
      </c>
      <c r="M234">
        <f t="shared" si="27"/>
        <v>2.8651325000738912</v>
      </c>
      <c r="N234">
        <f t="shared" si="36"/>
        <v>821.53881135958716</v>
      </c>
      <c r="O234">
        <f t="shared" si="37"/>
        <v>66.13407955366678</v>
      </c>
      <c r="P234">
        <f t="shared" si="38"/>
        <v>625</v>
      </c>
      <c r="Q234">
        <f t="shared" si="39"/>
        <v>38.893095671510309</v>
      </c>
      <c r="R234">
        <f t="shared" si="40"/>
        <v>341.64372178324277</v>
      </c>
      <c r="S234">
        <f t="shared" si="33"/>
        <v>27.502404953981252</v>
      </c>
      <c r="T234">
        <f t="shared" si="41"/>
        <v>259.91142860451657</v>
      </c>
      <c r="U234">
        <f t="shared" si="42"/>
        <v>25.081019822601721</v>
      </c>
    </row>
    <row r="235" spans="12:21" x14ac:dyDescent="0.55000000000000004">
      <c r="L235">
        <v>229</v>
      </c>
      <c r="M235">
        <f t="shared" si="27"/>
        <v>2.8776988706882505</v>
      </c>
      <c r="N235">
        <f t="shared" si="36"/>
        <v>827.2771440902377</v>
      </c>
      <c r="O235">
        <f t="shared" si="37"/>
        <v>60.395746823016395</v>
      </c>
      <c r="P235">
        <f t="shared" si="38"/>
        <v>625</v>
      </c>
      <c r="Q235">
        <f t="shared" si="39"/>
        <v>38.893095671510309</v>
      </c>
      <c r="R235">
        <f t="shared" si="40"/>
        <v>344.03005499577307</v>
      </c>
      <c r="S235">
        <f t="shared" si="33"/>
        <v>25.116071741451012</v>
      </c>
      <c r="T235">
        <f t="shared" si="41"/>
        <v>259.91142860451657</v>
      </c>
      <c r="U235">
        <f t="shared" si="42"/>
        <v>25.081019822601725</v>
      </c>
    </row>
    <row r="236" spans="12:21" x14ac:dyDescent="0.55000000000000004">
      <c r="L236">
        <v>230</v>
      </c>
      <c r="M236">
        <f t="shared" si="27"/>
        <v>2.8902652413026098</v>
      </c>
      <c r="N236">
        <f t="shared" si="36"/>
        <v>832.77328745719308</v>
      </c>
      <c r="O236">
        <f t="shared" si="37"/>
        <v>54.899603456060866</v>
      </c>
      <c r="P236">
        <f t="shared" si="38"/>
        <v>625</v>
      </c>
      <c r="Q236">
        <f t="shared" si="39"/>
        <v>38.893095671510309</v>
      </c>
      <c r="R236">
        <f t="shared" si="40"/>
        <v>346.31567175468604</v>
      </c>
      <c r="S236">
        <f t="shared" si="33"/>
        <v>22.830454982537976</v>
      </c>
      <c r="T236">
        <f t="shared" si="41"/>
        <v>259.91142860451657</v>
      </c>
      <c r="U236">
        <f t="shared" si="42"/>
        <v>25.081019822601721</v>
      </c>
    </row>
    <row r="237" spans="12:21" x14ac:dyDescent="0.55000000000000004">
      <c r="L237">
        <v>231</v>
      </c>
      <c r="M237">
        <f t="shared" si="27"/>
        <v>2.902831611916969</v>
      </c>
      <c r="N237">
        <f t="shared" si="36"/>
        <v>838.02376997850217</v>
      </c>
      <c r="O237">
        <f t="shared" si="37"/>
        <v>49.649120934751807</v>
      </c>
      <c r="P237">
        <f t="shared" si="38"/>
        <v>625</v>
      </c>
      <c r="Q237">
        <f t="shared" si="39"/>
        <v>38.893095671510309</v>
      </c>
      <c r="R237">
        <f t="shared" si="40"/>
        <v>348.49912841544847</v>
      </c>
      <c r="S237">
        <f t="shared" si="33"/>
        <v>20.646998321775605</v>
      </c>
      <c r="T237">
        <f t="shared" si="41"/>
        <v>259.91142860451657</v>
      </c>
      <c r="U237">
        <f t="shared" si="42"/>
        <v>25.081019822601725</v>
      </c>
    </row>
    <row r="238" spans="12:21" x14ac:dyDescent="0.55000000000000004">
      <c r="L238">
        <v>232</v>
      </c>
      <c r="M238">
        <f t="shared" si="27"/>
        <v>2.9153979825313283</v>
      </c>
      <c r="N238">
        <f t="shared" si="36"/>
        <v>843.02527533686873</v>
      </c>
      <c r="O238">
        <f t="shared" si="37"/>
        <v>44.647615576385405</v>
      </c>
      <c r="P238">
        <f t="shared" si="38"/>
        <v>625</v>
      </c>
      <c r="Q238">
        <f t="shared" si="39"/>
        <v>38.893095671510309</v>
      </c>
      <c r="R238">
        <f t="shared" si="40"/>
        <v>350.57904586003434</v>
      </c>
      <c r="S238">
        <f t="shared" si="33"/>
        <v>18.567080877189753</v>
      </c>
      <c r="T238">
        <f t="shared" si="41"/>
        <v>259.91142860451657</v>
      </c>
      <c r="U238">
        <f t="shared" si="42"/>
        <v>25.081019822601725</v>
      </c>
    </row>
    <row r="239" spans="12:21" x14ac:dyDescent="0.55000000000000004">
      <c r="L239">
        <v>233</v>
      </c>
      <c r="M239">
        <f t="shared" si="27"/>
        <v>2.9279643531456871</v>
      </c>
      <c r="N239">
        <f t="shared" si="36"/>
        <v>847.77464447430873</v>
      </c>
      <c r="O239">
        <f t="shared" si="37"/>
        <v>39.898246438945407</v>
      </c>
      <c r="P239">
        <f t="shared" si="38"/>
        <v>625</v>
      </c>
      <c r="Q239">
        <f t="shared" si="39"/>
        <v>38.893095671510309</v>
      </c>
      <c r="R239">
        <f t="shared" si="40"/>
        <v>352.55411036800587</v>
      </c>
      <c r="S239">
        <f t="shared" si="33"/>
        <v>16.592016369218182</v>
      </c>
      <c r="T239">
        <f t="shared" si="41"/>
        <v>259.91142860451657</v>
      </c>
      <c r="U239">
        <f t="shared" si="42"/>
        <v>25.081019822601725</v>
      </c>
    </row>
    <row r="240" spans="12:21" x14ac:dyDescent="0.55000000000000004">
      <c r="L240">
        <v>234</v>
      </c>
      <c r="M240">
        <f t="shared" si="27"/>
        <v>2.9405307237600464</v>
      </c>
      <c r="N240">
        <f t="shared" si="36"/>
        <v>852.26887758748023</v>
      </c>
      <c r="O240">
        <f t="shared" si="37"/>
        <v>35.404013325773803</v>
      </c>
      <c r="P240">
        <f t="shared" si="38"/>
        <v>625</v>
      </c>
      <c r="Q240">
        <f t="shared" si="39"/>
        <v>38.893095671510309</v>
      </c>
      <c r="R240">
        <f t="shared" si="40"/>
        <v>354.42307444628773</v>
      </c>
      <c r="S240">
        <f t="shared" si="33"/>
        <v>14.723052290936335</v>
      </c>
      <c r="T240">
        <f t="shared" si="41"/>
        <v>259.91142860451657</v>
      </c>
      <c r="U240">
        <f t="shared" si="42"/>
        <v>25.081019822601725</v>
      </c>
    </row>
    <row r="241" spans="12:21" x14ac:dyDescent="0.55000000000000004">
      <c r="L241">
        <v>235</v>
      </c>
      <c r="M241">
        <f t="shared" si="27"/>
        <v>2.9530970943744057</v>
      </c>
      <c r="N241">
        <f t="shared" si="36"/>
        <v>856.50513602242233</v>
      </c>
      <c r="O241">
        <f t="shared" si="37"/>
        <v>31.167754890831766</v>
      </c>
      <c r="P241">
        <f t="shared" si="38"/>
        <v>625</v>
      </c>
      <c r="Q241">
        <f t="shared" si="39"/>
        <v>38.893095671510309</v>
      </c>
      <c r="R241">
        <f t="shared" si="40"/>
        <v>356.18475761710971</v>
      </c>
      <c r="S241">
        <f t="shared" si="33"/>
        <v>12.961369120114387</v>
      </c>
      <c r="T241">
        <f t="shared" si="41"/>
        <v>259.91142860451657</v>
      </c>
      <c r="U241">
        <f t="shared" si="42"/>
        <v>25.081019822601725</v>
      </c>
    </row>
    <row r="242" spans="12:21" x14ac:dyDescent="0.55000000000000004">
      <c r="L242">
        <v>236</v>
      </c>
      <c r="M242">
        <f t="shared" si="27"/>
        <v>2.9656634649887645</v>
      </c>
      <c r="N242">
        <f t="shared" si="36"/>
        <v>860.4807440675097</v>
      </c>
      <c r="O242">
        <f t="shared" si="37"/>
        <v>27.192146845744343</v>
      </c>
      <c r="P242">
        <f t="shared" si="38"/>
        <v>625</v>
      </c>
      <c r="Q242">
        <f t="shared" si="39"/>
        <v>38.893095671510309</v>
      </c>
      <c r="R242">
        <f t="shared" si="40"/>
        <v>357.83804716362215</v>
      </c>
      <c r="S242">
        <f t="shared" si="33"/>
        <v>11.308079573601939</v>
      </c>
      <c r="T242">
        <f t="shared" si="41"/>
        <v>259.91142860451657</v>
      </c>
      <c r="U242">
        <f t="shared" si="42"/>
        <v>25.081019822601725</v>
      </c>
    </row>
    <row r="243" spans="12:21" x14ac:dyDescent="0.55000000000000004">
      <c r="L243">
        <v>237</v>
      </c>
      <c r="M243">
        <f t="shared" si="27"/>
        <v>2.9782298356031238</v>
      </c>
      <c r="N243">
        <f t="shared" si="36"/>
        <v>864.19319064349065</v>
      </c>
      <c r="O243">
        <f t="shared" si="37"/>
        <v>23.479700269763345</v>
      </c>
      <c r="P243">
        <f t="shared" si="38"/>
        <v>625</v>
      </c>
      <c r="Q243">
        <f t="shared" si="39"/>
        <v>38.893095671510309</v>
      </c>
      <c r="R243">
        <f t="shared" si="40"/>
        <v>359.38189883271195</v>
      </c>
      <c r="S243">
        <f t="shared" si="33"/>
        <v>9.7642279045120706</v>
      </c>
      <c r="T243">
        <f t="shared" si="41"/>
        <v>259.91142860451657</v>
      </c>
      <c r="U243">
        <f t="shared" si="42"/>
        <v>25.081019822601725</v>
      </c>
    </row>
    <row r="244" spans="12:21" x14ac:dyDescent="0.55000000000000004">
      <c r="L244">
        <v>238</v>
      </c>
      <c r="M244">
        <f t="shared" si="27"/>
        <v>2.9907962062174831</v>
      </c>
      <c r="N244">
        <f t="shared" si="36"/>
        <v>867.64013088953732</v>
      </c>
      <c r="O244">
        <f t="shared" si="37"/>
        <v>20.032760023716648</v>
      </c>
      <c r="P244">
        <f t="shared" si="38"/>
        <v>625</v>
      </c>
      <c r="Q244">
        <f t="shared" si="39"/>
        <v>38.893095671510309</v>
      </c>
      <c r="R244">
        <f t="shared" si="40"/>
        <v>360.81533749457503</v>
      </c>
      <c r="S244">
        <f t="shared" si="33"/>
        <v>8.3307892426490273</v>
      </c>
      <c r="T244">
        <f t="shared" si="41"/>
        <v>259.91142860451657</v>
      </c>
      <c r="U244">
        <f t="shared" si="42"/>
        <v>25.081019822601725</v>
      </c>
    </row>
    <row r="245" spans="12:21" x14ac:dyDescent="0.55000000000000004">
      <c r="L245">
        <v>239</v>
      </c>
      <c r="M245">
        <f t="shared" si="27"/>
        <v>3.0033625768318419</v>
      </c>
      <c r="N245">
        <f t="shared" si="36"/>
        <v>870.81938764431072</v>
      </c>
      <c r="O245">
        <f t="shared" si="37"/>
        <v>16.853503268943417</v>
      </c>
      <c r="P245">
        <f t="shared" si="38"/>
        <v>625</v>
      </c>
      <c r="Q245">
        <f t="shared" si="39"/>
        <v>38.893095671510309</v>
      </c>
      <c r="R245">
        <f t="shared" si="40"/>
        <v>362.1374577586289</v>
      </c>
      <c r="S245">
        <f t="shared" si="33"/>
        <v>7.008668978595157</v>
      </c>
      <c r="T245">
        <f t="shared" si="41"/>
        <v>259.91142860451657</v>
      </c>
      <c r="U245">
        <f t="shared" si="42"/>
        <v>25.081019822601725</v>
      </c>
    </row>
    <row r="246" spans="12:21" x14ac:dyDescent="0.55000000000000004">
      <c r="L246">
        <v>240</v>
      </c>
      <c r="M246">
        <f t="shared" si="27"/>
        <v>3.0159289474462012</v>
      </c>
      <c r="N246">
        <f t="shared" si="36"/>
        <v>873.72895282110198</v>
      </c>
      <c r="O246">
        <f t="shared" si="37"/>
        <v>13.943938092152019</v>
      </c>
      <c r="P246">
        <f t="shared" si="38"/>
        <v>625</v>
      </c>
      <c r="Q246">
        <f t="shared" si="39"/>
        <v>38.893095671510309</v>
      </c>
      <c r="R246">
        <f t="shared" si="40"/>
        <v>363.34742454537735</v>
      </c>
      <c r="S246">
        <f t="shared" si="33"/>
        <v>5.7987021918466688</v>
      </c>
      <c r="T246">
        <f t="shared" si="41"/>
        <v>259.91142860451657</v>
      </c>
      <c r="U246">
        <f t="shared" si="42"/>
        <v>25.081019822601721</v>
      </c>
    </row>
    <row r="247" spans="12:21" x14ac:dyDescent="0.55000000000000004">
      <c r="L247">
        <v>241</v>
      </c>
      <c r="M247">
        <f t="shared" si="27"/>
        <v>3.0284953180605609</v>
      </c>
      <c r="N247">
        <f t="shared" si="36"/>
        <v>876.36698867618395</v>
      </c>
      <c r="O247">
        <f t="shared" si="37"/>
        <v>11.305902237070022</v>
      </c>
      <c r="P247">
        <f t="shared" si="38"/>
        <v>625</v>
      </c>
      <c r="Q247">
        <f t="shared" si="39"/>
        <v>38.893095671510309</v>
      </c>
      <c r="R247">
        <f t="shared" si="40"/>
        <v>364.4444736138642</v>
      </c>
      <c r="S247">
        <f t="shared" si="33"/>
        <v>4.7016531233597902</v>
      </c>
      <c r="T247">
        <f t="shared" si="41"/>
        <v>259.91142860451657</v>
      </c>
      <c r="U247">
        <f t="shared" si="42"/>
        <v>25.081019822601721</v>
      </c>
    </row>
    <row r="248" spans="12:21" x14ac:dyDescent="0.55000000000000004">
      <c r="L248">
        <v>242</v>
      </c>
      <c r="M248">
        <f t="shared" si="27"/>
        <v>3.0410616886749198</v>
      </c>
      <c r="N248">
        <f t="shared" si="36"/>
        <v>878.73182896956826</v>
      </c>
      <c r="O248">
        <f t="shared" si="37"/>
        <v>8.9410619436858401</v>
      </c>
      <c r="P248">
        <f t="shared" si="38"/>
        <v>625</v>
      </c>
      <c r="Q248">
        <f t="shared" si="39"/>
        <v>38.893095671510309</v>
      </c>
      <c r="R248">
        <f t="shared" si="40"/>
        <v>365.4279120443843</v>
      </c>
      <c r="S248">
        <f t="shared" si="33"/>
        <v>3.7182146928397799</v>
      </c>
      <c r="T248">
        <f t="shared" si="41"/>
        <v>259.91142860451657</v>
      </c>
      <c r="U248">
        <f t="shared" si="42"/>
        <v>25.081019822601725</v>
      </c>
    </row>
    <row r="249" spans="12:21" x14ac:dyDescent="0.55000000000000004">
      <c r="L249">
        <v>243</v>
      </c>
      <c r="M249">
        <f t="shared" si="27"/>
        <v>3.0536280592892791</v>
      </c>
      <c r="N249">
        <f t="shared" si="36"/>
        <v>880.82198001743893</v>
      </c>
      <c r="O249">
        <f t="shared" si="37"/>
        <v>6.8509108958150735</v>
      </c>
      <c r="P249">
        <f t="shared" si="38"/>
        <v>625</v>
      </c>
      <c r="Q249">
        <f t="shared" si="39"/>
        <v>38.893095671510309</v>
      </c>
      <c r="R249">
        <f t="shared" si="40"/>
        <v>366.2971186761464</v>
      </c>
      <c r="S249">
        <f t="shared" si="33"/>
        <v>2.8490080610776705</v>
      </c>
      <c r="T249">
        <f t="shared" si="41"/>
        <v>259.91142860451657</v>
      </c>
      <c r="U249">
        <f t="shared" si="42"/>
        <v>25.081019822601725</v>
      </c>
    </row>
    <row r="250" spans="12:21" x14ac:dyDescent="0.55000000000000004">
      <c r="L250">
        <v>244</v>
      </c>
      <c r="M250">
        <f t="shared" si="27"/>
        <v>3.0661944299036383</v>
      </c>
      <c r="N250">
        <f t="shared" si="36"/>
        <v>882.63612163559526</v>
      </c>
      <c r="O250">
        <f t="shared" si="37"/>
        <v>5.036769277658693</v>
      </c>
      <c r="P250">
        <f t="shared" si="38"/>
        <v>625</v>
      </c>
      <c r="Q250">
        <f t="shared" si="39"/>
        <v>38.893095671510309</v>
      </c>
      <c r="R250">
        <f t="shared" si="40"/>
        <v>367.05154449961185</v>
      </c>
      <c r="S250">
        <f t="shared" si="33"/>
        <v>2.0945822376121757</v>
      </c>
      <c r="T250">
        <f t="shared" si="41"/>
        <v>259.91142860451657</v>
      </c>
      <c r="U250">
        <f t="shared" si="42"/>
        <v>25.081019822601725</v>
      </c>
    </row>
    <row r="251" spans="12:21" x14ac:dyDescent="0.55000000000000004">
      <c r="L251">
        <v>245</v>
      </c>
      <c r="M251">
        <f t="shared" si="27"/>
        <v>3.0787608005179972</v>
      </c>
      <c r="N251">
        <f t="shared" si="36"/>
        <v>884.17310797330799</v>
      </c>
      <c r="O251">
        <f t="shared" si="37"/>
        <v>3.4997829399459959</v>
      </c>
      <c r="P251">
        <f t="shared" si="38"/>
        <v>625</v>
      </c>
      <c r="Q251">
        <f t="shared" si="39"/>
        <v>38.893095671510309</v>
      </c>
      <c r="R251">
        <f t="shared" si="40"/>
        <v>367.69071300326073</v>
      </c>
      <c r="S251">
        <f t="shared" si="33"/>
        <v>1.455413733963326</v>
      </c>
      <c r="T251">
        <f t="shared" si="41"/>
        <v>259.91142860451657</v>
      </c>
      <c r="U251">
        <f t="shared" si="42"/>
        <v>25.081019822601725</v>
      </c>
    </row>
    <row r="252" spans="12:21" x14ac:dyDescent="0.55000000000000004">
      <c r="L252">
        <v>246</v>
      </c>
      <c r="M252">
        <f t="shared" si="27"/>
        <v>3.0913271711323564</v>
      </c>
      <c r="N252">
        <f t="shared" si="36"/>
        <v>885.43196823706342</v>
      </c>
      <c r="O252">
        <f t="shared" si="37"/>
        <v>2.240922676190618</v>
      </c>
      <c r="P252">
        <f t="shared" si="38"/>
        <v>625</v>
      </c>
      <c r="Q252">
        <f t="shared" si="39"/>
        <v>38.893095671510309</v>
      </c>
      <c r="R252">
        <f t="shared" si="40"/>
        <v>368.2142204745665</v>
      </c>
      <c r="S252">
        <f t="shared" si="33"/>
        <v>0.93190626265753596</v>
      </c>
      <c r="T252">
        <f t="shared" si="41"/>
        <v>259.91142860451657</v>
      </c>
      <c r="U252">
        <f t="shared" si="42"/>
        <v>25.081019822601725</v>
      </c>
    </row>
    <row r="253" spans="12:21" x14ac:dyDescent="0.55000000000000004">
      <c r="L253">
        <v>247</v>
      </c>
      <c r="M253">
        <f t="shared" si="27"/>
        <v>3.1038935417467157</v>
      </c>
      <c r="N253">
        <f t="shared" si="36"/>
        <v>886.41190730373717</v>
      </c>
      <c r="O253">
        <f t="shared" si="37"/>
        <v>1.2609836095168614</v>
      </c>
      <c r="P253">
        <f t="shared" si="38"/>
        <v>625</v>
      </c>
      <c r="Q253">
        <f t="shared" si="39"/>
        <v>38.893095671510309</v>
      </c>
      <c r="R253">
        <f t="shared" si="40"/>
        <v>368.6217362549898</v>
      </c>
      <c r="S253">
        <f t="shared" si="33"/>
        <v>0.52439048223425166</v>
      </c>
      <c r="T253">
        <f t="shared" si="41"/>
        <v>259.91142860451657</v>
      </c>
      <c r="U253">
        <f t="shared" si="42"/>
        <v>25.081019822601725</v>
      </c>
    </row>
    <row r="254" spans="12:21" x14ac:dyDescent="0.55000000000000004">
      <c r="L254">
        <v>248</v>
      </c>
      <c r="M254">
        <f t="shared" si="27"/>
        <v>3.1164599123610746</v>
      </c>
      <c r="N254">
        <f t="shared" si="36"/>
        <v>887.1123062228113</v>
      </c>
      <c r="O254">
        <f t="shared" si="37"/>
        <v>0.56058469044268278</v>
      </c>
      <c r="P254">
        <f t="shared" si="38"/>
        <v>625</v>
      </c>
      <c r="Q254">
        <f t="shared" si="39"/>
        <v>38.893095671510309</v>
      </c>
      <c r="R254">
        <f t="shared" si="40"/>
        <v>368.91300294882916</v>
      </c>
      <c r="S254">
        <f t="shared" si="33"/>
        <v>0.23312378839484538</v>
      </c>
      <c r="T254">
        <f t="shared" si="41"/>
        <v>259.91142860451657</v>
      </c>
      <c r="U254">
        <f t="shared" si="42"/>
        <v>25.081019822601721</v>
      </c>
    </row>
    <row r="255" spans="12:21" x14ac:dyDescent="0.55000000000000004">
      <c r="L255">
        <v>249</v>
      </c>
      <c r="M255">
        <f t="shared" si="27"/>
        <v>3.1290262829754338</v>
      </c>
      <c r="N255">
        <f t="shared" si="36"/>
        <v>887.53272260731683</v>
      </c>
      <c r="O255">
        <f t="shared" si="37"/>
        <v>0.14016830593725041</v>
      </c>
      <c r="P255">
        <f t="shared" si="38"/>
        <v>625</v>
      </c>
      <c r="Q255">
        <f t="shared" si="39"/>
        <v>38.893095671510309</v>
      </c>
      <c r="R255">
        <f t="shared" si="40"/>
        <v>369.08783658579807</v>
      </c>
      <c r="S255">
        <f t="shared" si="33"/>
        <v>5.8290151425961112E-2</v>
      </c>
      <c r="T255">
        <f t="shared" si="41"/>
        <v>259.91142860451657</v>
      </c>
      <c r="U255">
        <f t="shared" si="42"/>
        <v>25.081019822601725</v>
      </c>
    </row>
    <row r="256" spans="12:21" x14ac:dyDescent="0.55000000000000004">
      <c r="L256">
        <v>250</v>
      </c>
      <c r="M256">
        <f t="shared" si="27"/>
        <v>3.1415926535897931</v>
      </c>
      <c r="N256">
        <f t="shared" si="36"/>
        <v>887.67289091325404</v>
      </c>
      <c r="O256">
        <f t="shared" si="37"/>
        <v>1.3323870110148675E-29</v>
      </c>
      <c r="P256">
        <f t="shared" si="38"/>
        <v>625</v>
      </c>
      <c r="Q256">
        <f t="shared" si="39"/>
        <v>38.893095671510309</v>
      </c>
      <c r="R256">
        <f t="shared" si="40"/>
        <v>369.14612673722405</v>
      </c>
      <c r="S256">
        <f t="shared" si="33"/>
        <v>5.5408417837916153E-30</v>
      </c>
      <c r="T256">
        <f t="shared" si="41"/>
        <v>259.91142860451657</v>
      </c>
      <c r="U256">
        <f t="shared" si="42"/>
        <v>25.081019822601725</v>
      </c>
    </row>
    <row r="257" spans="12:21" x14ac:dyDescent="0.55000000000000004">
      <c r="L257">
        <v>251</v>
      </c>
      <c r="M257">
        <f t="shared" si="27"/>
        <v>3.1541590242041524</v>
      </c>
      <c r="N257">
        <f t="shared" si="36"/>
        <v>887.53272260731683</v>
      </c>
      <c r="O257">
        <f t="shared" si="37"/>
        <v>0.14016830593724497</v>
      </c>
      <c r="P257">
        <f t="shared" si="38"/>
        <v>625</v>
      </c>
      <c r="Q257">
        <f t="shared" si="39"/>
        <v>38.893095671510309</v>
      </c>
      <c r="R257">
        <f t="shared" si="40"/>
        <v>369.08783658579807</v>
      </c>
      <c r="S257">
        <f t="shared" si="33"/>
        <v>5.8290151425958843E-2</v>
      </c>
      <c r="T257">
        <f t="shared" si="41"/>
        <v>259.91142860451657</v>
      </c>
      <c r="U257">
        <f t="shared" si="42"/>
        <v>25.081019822601725</v>
      </c>
    </row>
    <row r="258" spans="12:21" x14ac:dyDescent="0.55000000000000004">
      <c r="L258">
        <v>252</v>
      </c>
      <c r="M258">
        <f t="shared" si="27"/>
        <v>3.1667253948185117</v>
      </c>
      <c r="N258">
        <f t="shared" si="36"/>
        <v>887.1123062228113</v>
      </c>
      <c r="O258">
        <f t="shared" si="37"/>
        <v>0.5605846904426719</v>
      </c>
      <c r="P258">
        <f t="shared" si="38"/>
        <v>625</v>
      </c>
      <c r="Q258">
        <f t="shared" si="39"/>
        <v>38.893095671510309</v>
      </c>
      <c r="R258">
        <f t="shared" si="40"/>
        <v>368.91300294882916</v>
      </c>
      <c r="S258">
        <f t="shared" si="33"/>
        <v>0.23312378839484085</v>
      </c>
      <c r="T258">
        <f t="shared" si="41"/>
        <v>259.91142860451657</v>
      </c>
      <c r="U258">
        <f t="shared" si="42"/>
        <v>25.081019822601721</v>
      </c>
    </row>
    <row r="259" spans="12:21" x14ac:dyDescent="0.55000000000000004">
      <c r="L259">
        <v>253</v>
      </c>
      <c r="M259">
        <f t="shared" si="27"/>
        <v>3.179291765432871</v>
      </c>
      <c r="N259">
        <f t="shared" si="36"/>
        <v>886.41190730373717</v>
      </c>
      <c r="O259">
        <f t="shared" si="37"/>
        <v>1.2609836095168747</v>
      </c>
      <c r="P259">
        <f t="shared" si="38"/>
        <v>625</v>
      </c>
      <c r="Q259">
        <f t="shared" si="39"/>
        <v>38.893095671510309</v>
      </c>
      <c r="R259">
        <f t="shared" si="40"/>
        <v>368.6217362549898</v>
      </c>
      <c r="S259">
        <f t="shared" si="33"/>
        <v>0.52439048223425722</v>
      </c>
      <c r="T259">
        <f t="shared" si="41"/>
        <v>259.91142860451657</v>
      </c>
      <c r="U259">
        <f t="shared" si="42"/>
        <v>25.081019822601725</v>
      </c>
    </row>
    <row r="260" spans="12:21" x14ac:dyDescent="0.55000000000000004">
      <c r="L260">
        <v>254</v>
      </c>
      <c r="M260">
        <f t="shared" si="27"/>
        <v>3.1918581360472298</v>
      </c>
      <c r="N260">
        <f t="shared" si="36"/>
        <v>885.43196823706342</v>
      </c>
      <c r="O260">
        <f t="shared" si="37"/>
        <v>2.2409226761905967</v>
      </c>
      <c r="P260">
        <f t="shared" si="38"/>
        <v>625</v>
      </c>
      <c r="Q260">
        <f t="shared" si="39"/>
        <v>38.893095671510309</v>
      </c>
      <c r="R260">
        <f t="shared" si="40"/>
        <v>368.2142204745665</v>
      </c>
      <c r="S260">
        <f t="shared" si="33"/>
        <v>0.93190626265752696</v>
      </c>
      <c r="T260">
        <f t="shared" si="41"/>
        <v>259.91142860451657</v>
      </c>
      <c r="U260">
        <f t="shared" si="42"/>
        <v>25.081019822601725</v>
      </c>
    </row>
    <row r="261" spans="12:21" x14ac:dyDescent="0.55000000000000004">
      <c r="L261">
        <v>255</v>
      </c>
      <c r="M261">
        <f t="shared" si="27"/>
        <v>3.2044245066615891</v>
      </c>
      <c r="N261">
        <f t="shared" si="36"/>
        <v>884.17310797330799</v>
      </c>
      <c r="O261">
        <f t="shared" si="37"/>
        <v>3.4997829399459697</v>
      </c>
      <c r="P261">
        <f t="shared" si="38"/>
        <v>625</v>
      </c>
      <c r="Q261">
        <f t="shared" si="39"/>
        <v>38.893095671510309</v>
      </c>
      <c r="R261">
        <f t="shared" si="40"/>
        <v>367.69071300326073</v>
      </c>
      <c r="S261">
        <f t="shared" si="33"/>
        <v>1.4554137339633151</v>
      </c>
      <c r="T261">
        <f t="shared" si="41"/>
        <v>259.91142860451657</v>
      </c>
      <c r="U261">
        <f t="shared" si="42"/>
        <v>25.081019822601725</v>
      </c>
    </row>
    <row r="262" spans="12:21" x14ac:dyDescent="0.55000000000000004">
      <c r="L262">
        <v>256</v>
      </c>
      <c r="M262">
        <f t="shared" si="27"/>
        <v>3.2169908772759483</v>
      </c>
      <c r="N262">
        <f t="shared" si="36"/>
        <v>882.63612163559526</v>
      </c>
      <c r="O262">
        <f t="shared" si="37"/>
        <v>5.0367692776587187</v>
      </c>
      <c r="P262">
        <f t="shared" si="38"/>
        <v>625</v>
      </c>
      <c r="Q262">
        <f t="shared" si="39"/>
        <v>38.893095671510309</v>
      </c>
      <c r="R262">
        <f t="shared" si="40"/>
        <v>367.05154449961185</v>
      </c>
      <c r="S262">
        <f t="shared" si="33"/>
        <v>2.0945822376121863</v>
      </c>
      <c r="T262">
        <f t="shared" si="41"/>
        <v>259.91142860451657</v>
      </c>
      <c r="U262">
        <f t="shared" si="42"/>
        <v>25.081019822601725</v>
      </c>
    </row>
    <row r="263" spans="12:21" x14ac:dyDescent="0.55000000000000004">
      <c r="L263">
        <v>257</v>
      </c>
      <c r="M263">
        <f t="shared" ref="M263:M326" si="43">2*PI()*L263/500</f>
        <v>3.2295572478903072</v>
      </c>
      <c r="N263">
        <f t="shared" si="36"/>
        <v>880.82198001743893</v>
      </c>
      <c r="O263">
        <f t="shared" si="37"/>
        <v>6.8509108958150344</v>
      </c>
      <c r="P263">
        <f t="shared" si="38"/>
        <v>625</v>
      </c>
      <c r="Q263">
        <f t="shared" si="39"/>
        <v>38.893095671510309</v>
      </c>
      <c r="R263">
        <f t="shared" si="40"/>
        <v>366.2971186761464</v>
      </c>
      <c r="S263">
        <f t="shared" ref="S263:S326" si="44">$C$45^2*$C$27^2*SIN(M263)^2</f>
        <v>2.849008061077654</v>
      </c>
      <c r="T263">
        <f t="shared" si="41"/>
        <v>259.91142860451657</v>
      </c>
      <c r="U263">
        <f t="shared" si="42"/>
        <v>25.081019822601725</v>
      </c>
    </row>
    <row r="264" spans="12:21" x14ac:dyDescent="0.55000000000000004">
      <c r="L264">
        <v>258</v>
      </c>
      <c r="M264">
        <f t="shared" si="43"/>
        <v>3.2421236185046665</v>
      </c>
      <c r="N264">
        <f t="shared" si="36"/>
        <v>878.73182896956826</v>
      </c>
      <c r="O264">
        <f t="shared" si="37"/>
        <v>8.9410619436857957</v>
      </c>
      <c r="P264">
        <f t="shared" si="38"/>
        <v>625</v>
      </c>
      <c r="Q264">
        <f t="shared" si="39"/>
        <v>38.893095671510309</v>
      </c>
      <c r="R264">
        <f t="shared" si="40"/>
        <v>365.4279120443843</v>
      </c>
      <c r="S264">
        <f t="shared" si="44"/>
        <v>3.7182146928397612</v>
      </c>
      <c r="T264">
        <f t="shared" si="41"/>
        <v>259.91142860451657</v>
      </c>
      <c r="U264">
        <f t="shared" si="42"/>
        <v>25.081019822601725</v>
      </c>
    </row>
    <row r="265" spans="12:21" x14ac:dyDescent="0.55000000000000004">
      <c r="L265">
        <v>259</v>
      </c>
      <c r="M265">
        <f t="shared" si="43"/>
        <v>3.2546899891190257</v>
      </c>
      <c r="N265">
        <f t="shared" si="36"/>
        <v>876.36698867618395</v>
      </c>
      <c r="O265">
        <f t="shared" si="37"/>
        <v>11.305902237070063</v>
      </c>
      <c r="P265">
        <f t="shared" si="38"/>
        <v>625</v>
      </c>
      <c r="Q265">
        <f t="shared" si="39"/>
        <v>38.893095671510309</v>
      </c>
      <c r="R265">
        <f t="shared" si="40"/>
        <v>364.4444736138642</v>
      </c>
      <c r="S265">
        <f t="shared" si="44"/>
        <v>4.7016531233598071</v>
      </c>
      <c r="T265">
        <f t="shared" si="41"/>
        <v>259.91142860451657</v>
      </c>
      <c r="U265">
        <f t="shared" si="42"/>
        <v>25.081019822601721</v>
      </c>
    </row>
    <row r="266" spans="12:21" x14ac:dyDescent="0.55000000000000004">
      <c r="L266">
        <v>260</v>
      </c>
      <c r="M266">
        <f t="shared" si="43"/>
        <v>3.2672563597333846</v>
      </c>
      <c r="N266">
        <f t="shared" si="36"/>
        <v>873.72895282110221</v>
      </c>
      <c r="O266">
        <f t="shared" si="37"/>
        <v>13.943938092151866</v>
      </c>
      <c r="P266">
        <f t="shared" si="38"/>
        <v>625</v>
      </c>
      <c r="Q266">
        <f t="shared" si="39"/>
        <v>38.893095671510309</v>
      </c>
      <c r="R266">
        <f t="shared" si="40"/>
        <v>363.34742454537746</v>
      </c>
      <c r="S266">
        <f t="shared" si="44"/>
        <v>5.7987021918466048</v>
      </c>
      <c r="T266">
        <f t="shared" si="41"/>
        <v>259.91142860451657</v>
      </c>
      <c r="U266">
        <f t="shared" si="42"/>
        <v>25.081019822601725</v>
      </c>
    </row>
    <row r="267" spans="12:21" x14ac:dyDescent="0.55000000000000004">
      <c r="L267">
        <v>261</v>
      </c>
      <c r="M267">
        <f t="shared" si="43"/>
        <v>3.2798227303477439</v>
      </c>
      <c r="N267">
        <f t="shared" si="36"/>
        <v>870.81938764431084</v>
      </c>
      <c r="O267">
        <f t="shared" si="37"/>
        <v>16.853503268943246</v>
      </c>
      <c r="P267">
        <f t="shared" si="38"/>
        <v>625</v>
      </c>
      <c r="Q267">
        <f t="shared" si="39"/>
        <v>38.893095671510309</v>
      </c>
      <c r="R267">
        <f t="shared" si="40"/>
        <v>362.13745775862901</v>
      </c>
      <c r="S267">
        <f t="shared" si="44"/>
        <v>7.0086689785950869</v>
      </c>
      <c r="T267">
        <f t="shared" si="41"/>
        <v>259.91142860451657</v>
      </c>
      <c r="U267">
        <f t="shared" si="42"/>
        <v>25.081019822601725</v>
      </c>
    </row>
    <row r="268" spans="12:21" x14ac:dyDescent="0.55000000000000004">
      <c r="L268">
        <v>262</v>
      </c>
      <c r="M268">
        <f t="shared" si="43"/>
        <v>3.2923891009621036</v>
      </c>
      <c r="N268">
        <f t="shared" si="36"/>
        <v>867.64013088953732</v>
      </c>
      <c r="O268">
        <f t="shared" si="37"/>
        <v>20.032760023716701</v>
      </c>
      <c r="P268">
        <f t="shared" si="38"/>
        <v>625</v>
      </c>
      <c r="Q268">
        <f t="shared" si="39"/>
        <v>38.893095671510309</v>
      </c>
      <c r="R268">
        <f t="shared" si="40"/>
        <v>360.81533749457503</v>
      </c>
      <c r="S268">
        <f t="shared" si="44"/>
        <v>8.3307892426490504</v>
      </c>
      <c r="T268">
        <f t="shared" si="41"/>
        <v>259.91142860451657</v>
      </c>
      <c r="U268">
        <f t="shared" si="42"/>
        <v>25.081019822601725</v>
      </c>
    </row>
    <row r="269" spans="12:21" x14ac:dyDescent="0.55000000000000004">
      <c r="L269">
        <v>263</v>
      </c>
      <c r="M269">
        <f t="shared" si="43"/>
        <v>3.3049554715764624</v>
      </c>
      <c r="N269">
        <f t="shared" si="36"/>
        <v>864.19319064349065</v>
      </c>
      <c r="O269">
        <f t="shared" si="37"/>
        <v>23.479700269763274</v>
      </c>
      <c r="P269">
        <f t="shared" si="38"/>
        <v>625</v>
      </c>
      <c r="Q269">
        <f t="shared" si="39"/>
        <v>38.893095671510309</v>
      </c>
      <c r="R269">
        <f t="shared" si="40"/>
        <v>359.38189883271195</v>
      </c>
      <c r="S269">
        <f t="shared" si="44"/>
        <v>9.7642279045120404</v>
      </c>
      <c r="T269">
        <f t="shared" si="41"/>
        <v>259.91142860451657</v>
      </c>
      <c r="U269">
        <f t="shared" si="42"/>
        <v>25.081019822601721</v>
      </c>
    </row>
    <row r="270" spans="12:21" x14ac:dyDescent="0.55000000000000004">
      <c r="L270">
        <v>264</v>
      </c>
      <c r="M270">
        <f t="shared" si="43"/>
        <v>3.3175218421908217</v>
      </c>
      <c r="N270">
        <f t="shared" si="36"/>
        <v>860.4807440675097</v>
      </c>
      <c r="O270">
        <f t="shared" si="37"/>
        <v>27.192146845744276</v>
      </c>
      <c r="P270">
        <f t="shared" si="38"/>
        <v>625</v>
      </c>
      <c r="Q270">
        <f t="shared" si="39"/>
        <v>38.893095671510309</v>
      </c>
      <c r="R270">
        <f t="shared" si="40"/>
        <v>357.83804716362215</v>
      </c>
      <c r="S270">
        <f t="shared" si="44"/>
        <v>11.308079573601908</v>
      </c>
      <c r="T270">
        <f t="shared" si="41"/>
        <v>259.91142860451657</v>
      </c>
      <c r="U270">
        <f t="shared" si="42"/>
        <v>25.081019822601725</v>
      </c>
    </row>
    <row r="271" spans="12:21" x14ac:dyDescent="0.55000000000000004">
      <c r="L271">
        <v>265</v>
      </c>
      <c r="M271">
        <f t="shared" si="43"/>
        <v>3.330088212805181</v>
      </c>
      <c r="N271">
        <f t="shared" ref="N271:N334" si="45">$C$16^2*$C$3^2*COS(M271)^2</f>
        <v>856.50513602242211</v>
      </c>
      <c r="O271">
        <f t="shared" ref="O271:O334" si="46">$C$16^2*$C$3^2*SIN(M271)^2</f>
        <v>31.167754890831826</v>
      </c>
      <c r="P271">
        <f t="shared" ref="P271:P334" si="47">($C$3^2-$C$15*$C$3*SIN(M271))^2</f>
        <v>625</v>
      </c>
      <c r="Q271">
        <f t="shared" ref="Q271:Q334" si="48">SQRT(N271+O271+P271)</f>
        <v>38.893095671510309</v>
      </c>
      <c r="R271">
        <f t="shared" ref="R271:R334" si="49">$C$45^2*$C$28^2*COS(M271)^2</f>
        <v>356.1847576171096</v>
      </c>
      <c r="S271">
        <f t="shared" si="44"/>
        <v>12.961369120114412</v>
      </c>
      <c r="T271">
        <f t="shared" ref="T271:T334" si="50">($C$27*$C$28-$C$44*$C$27*SIN(M271))^2</f>
        <v>259.91142860451657</v>
      </c>
      <c r="U271">
        <f t="shared" ref="U271:U334" si="51">SQRT(R271+S271+T271)</f>
        <v>25.081019822601721</v>
      </c>
    </row>
    <row r="272" spans="12:21" x14ac:dyDescent="0.55000000000000004">
      <c r="L272">
        <v>266</v>
      </c>
      <c r="M272">
        <f t="shared" si="43"/>
        <v>3.3426545834195398</v>
      </c>
      <c r="N272">
        <f t="shared" si="45"/>
        <v>852.26887758748023</v>
      </c>
      <c r="O272">
        <f t="shared" si="46"/>
        <v>35.404013325773718</v>
      </c>
      <c r="P272">
        <f t="shared" si="47"/>
        <v>625</v>
      </c>
      <c r="Q272">
        <f t="shared" si="48"/>
        <v>38.893095671510309</v>
      </c>
      <c r="R272">
        <f t="shared" si="49"/>
        <v>354.42307444628773</v>
      </c>
      <c r="S272">
        <f t="shared" si="44"/>
        <v>14.723052290936302</v>
      </c>
      <c r="T272">
        <f t="shared" si="50"/>
        <v>259.91142860451657</v>
      </c>
      <c r="U272">
        <f t="shared" si="51"/>
        <v>25.081019822601725</v>
      </c>
    </row>
    <row r="273" spans="12:21" x14ac:dyDescent="0.55000000000000004">
      <c r="L273">
        <v>267</v>
      </c>
      <c r="M273">
        <f t="shared" si="43"/>
        <v>3.3552209540338991</v>
      </c>
      <c r="N273">
        <f t="shared" si="45"/>
        <v>847.77464447430873</v>
      </c>
      <c r="O273">
        <f t="shared" si="46"/>
        <v>39.898246438945307</v>
      </c>
      <c r="P273">
        <f t="shared" si="47"/>
        <v>625</v>
      </c>
      <c r="Q273">
        <f t="shared" si="48"/>
        <v>38.893095671510309</v>
      </c>
      <c r="R273">
        <f t="shared" si="49"/>
        <v>352.55411036800587</v>
      </c>
      <c r="S273">
        <f t="shared" si="44"/>
        <v>16.592016369218143</v>
      </c>
      <c r="T273">
        <f t="shared" si="50"/>
        <v>259.91142860451657</v>
      </c>
      <c r="U273">
        <f t="shared" si="51"/>
        <v>25.081019822601721</v>
      </c>
    </row>
    <row r="274" spans="12:21" x14ac:dyDescent="0.55000000000000004">
      <c r="L274">
        <v>268</v>
      </c>
      <c r="M274">
        <f t="shared" si="43"/>
        <v>3.3677873246482584</v>
      </c>
      <c r="N274">
        <f t="shared" si="45"/>
        <v>843.0252753368685</v>
      </c>
      <c r="O274">
        <f t="shared" si="46"/>
        <v>44.647615576385483</v>
      </c>
      <c r="P274">
        <f t="shared" si="47"/>
        <v>625</v>
      </c>
      <c r="Q274">
        <f t="shared" si="48"/>
        <v>38.893095671510309</v>
      </c>
      <c r="R274">
        <f t="shared" si="49"/>
        <v>350.57904586003423</v>
      </c>
      <c r="S274">
        <f t="shared" si="44"/>
        <v>18.567080877189788</v>
      </c>
      <c r="T274">
        <f t="shared" si="50"/>
        <v>259.91142860451657</v>
      </c>
      <c r="U274">
        <f t="shared" si="51"/>
        <v>25.081019822601721</v>
      </c>
    </row>
    <row r="275" spans="12:21" x14ac:dyDescent="0.55000000000000004">
      <c r="L275">
        <v>269</v>
      </c>
      <c r="M275">
        <f t="shared" si="43"/>
        <v>3.3803536952626172</v>
      </c>
      <c r="N275">
        <f t="shared" si="45"/>
        <v>838.02376997850217</v>
      </c>
      <c r="O275">
        <f t="shared" si="46"/>
        <v>49.649120934751714</v>
      </c>
      <c r="P275">
        <f t="shared" si="47"/>
        <v>625</v>
      </c>
      <c r="Q275">
        <f t="shared" si="48"/>
        <v>38.893095671510309</v>
      </c>
      <c r="R275">
        <f t="shared" si="49"/>
        <v>348.49912841544847</v>
      </c>
      <c r="S275">
        <f t="shared" si="44"/>
        <v>20.646998321775566</v>
      </c>
      <c r="T275">
        <f t="shared" si="50"/>
        <v>259.91142860451657</v>
      </c>
      <c r="U275">
        <f t="shared" si="51"/>
        <v>25.081019822601725</v>
      </c>
    </row>
    <row r="276" spans="12:21" x14ac:dyDescent="0.55000000000000004">
      <c r="L276">
        <v>270</v>
      </c>
      <c r="M276">
        <f t="shared" si="43"/>
        <v>3.3929200658769765</v>
      </c>
      <c r="N276">
        <f t="shared" si="45"/>
        <v>832.77328745719331</v>
      </c>
      <c r="O276">
        <f t="shared" si="46"/>
        <v>54.899603456060753</v>
      </c>
      <c r="P276">
        <f t="shared" si="47"/>
        <v>625</v>
      </c>
      <c r="Q276">
        <f t="shared" si="48"/>
        <v>38.893095671510309</v>
      </c>
      <c r="R276">
        <f t="shared" si="49"/>
        <v>346.31567175468615</v>
      </c>
      <c r="S276">
        <f t="shared" si="44"/>
        <v>22.83045498253793</v>
      </c>
      <c r="T276">
        <f t="shared" si="50"/>
        <v>259.91142860451657</v>
      </c>
      <c r="U276">
        <f t="shared" si="51"/>
        <v>25.081019822601725</v>
      </c>
    </row>
    <row r="277" spans="12:21" x14ac:dyDescent="0.55000000000000004">
      <c r="L277">
        <v>271</v>
      </c>
      <c r="M277">
        <f t="shared" si="43"/>
        <v>3.4054864364913358</v>
      </c>
      <c r="N277">
        <f t="shared" si="45"/>
        <v>827.2771440902377</v>
      </c>
      <c r="O277">
        <f t="shared" si="46"/>
        <v>60.395746823016296</v>
      </c>
      <c r="P277">
        <f t="shared" si="47"/>
        <v>625</v>
      </c>
      <c r="Q277">
        <f t="shared" si="48"/>
        <v>38.893095671510309</v>
      </c>
      <c r="R277">
        <f t="shared" si="49"/>
        <v>344.03005499577307</v>
      </c>
      <c r="S277">
        <f t="shared" si="44"/>
        <v>25.11607174145097</v>
      </c>
      <c r="T277">
        <f t="shared" si="50"/>
        <v>259.91142860451657</v>
      </c>
      <c r="U277">
        <f t="shared" si="51"/>
        <v>25.081019822601725</v>
      </c>
    </row>
    <row r="278" spans="12:21" x14ac:dyDescent="0.55000000000000004">
      <c r="L278">
        <v>272</v>
      </c>
      <c r="M278">
        <f t="shared" si="43"/>
        <v>3.418052807105695</v>
      </c>
      <c r="N278">
        <f t="shared" si="45"/>
        <v>821.53881135958738</v>
      </c>
      <c r="O278">
        <f t="shared" si="46"/>
        <v>66.134079553666695</v>
      </c>
      <c r="P278">
        <f t="shared" si="47"/>
        <v>625</v>
      </c>
      <c r="Q278">
        <f t="shared" si="48"/>
        <v>38.893095671510309</v>
      </c>
      <c r="R278">
        <f t="shared" si="49"/>
        <v>341.64372178324288</v>
      </c>
      <c r="S278">
        <f t="shared" si="44"/>
        <v>27.502404953981213</v>
      </c>
      <c r="T278">
        <f t="shared" si="50"/>
        <v>259.91142860451657</v>
      </c>
      <c r="U278">
        <f t="shared" si="51"/>
        <v>25.081019822601725</v>
      </c>
    </row>
    <row r="279" spans="12:21" x14ac:dyDescent="0.55000000000000004">
      <c r="L279">
        <v>273</v>
      </c>
      <c r="M279">
        <f t="shared" si="43"/>
        <v>3.4306191777200543</v>
      </c>
      <c r="N279">
        <f t="shared" si="45"/>
        <v>815.56191371918669</v>
      </c>
      <c r="O279">
        <f t="shared" si="46"/>
        <v>72.110977194067317</v>
      </c>
      <c r="P279">
        <f t="shared" si="47"/>
        <v>625</v>
      </c>
      <c r="Q279">
        <f t="shared" si="48"/>
        <v>38.893095671510309</v>
      </c>
      <c r="R279">
        <f t="shared" si="49"/>
        <v>339.15817937629964</v>
      </c>
      <c r="S279">
        <f t="shared" si="44"/>
        <v>29.987947360924395</v>
      </c>
      <c r="T279">
        <f t="shared" si="50"/>
        <v>259.91142860451657</v>
      </c>
      <c r="U279">
        <f t="shared" si="51"/>
        <v>25.081019822601725</v>
      </c>
    </row>
    <row r="280" spans="12:21" x14ac:dyDescent="0.55000000000000004">
      <c r="L280">
        <v>274</v>
      </c>
      <c r="M280">
        <f t="shared" si="43"/>
        <v>3.4431855483344136</v>
      </c>
      <c r="N280">
        <f t="shared" si="45"/>
        <v>809.35022630569085</v>
      </c>
      <c r="O280">
        <f t="shared" si="46"/>
        <v>78.322664607563212</v>
      </c>
      <c r="P280">
        <f t="shared" si="47"/>
        <v>625</v>
      </c>
      <c r="Q280">
        <f t="shared" si="48"/>
        <v>38.893095671510309</v>
      </c>
      <c r="R280">
        <f t="shared" si="49"/>
        <v>336.5749976968014</v>
      </c>
      <c r="S280">
        <f t="shared" si="44"/>
        <v>32.571129040422655</v>
      </c>
      <c r="T280">
        <f t="shared" si="50"/>
        <v>259.91142860451657</v>
      </c>
      <c r="U280">
        <f t="shared" si="51"/>
        <v>25.081019822601725</v>
      </c>
    </row>
    <row r="281" spans="12:21" x14ac:dyDescent="0.55000000000000004">
      <c r="L281">
        <v>275</v>
      </c>
      <c r="M281">
        <f t="shared" si="43"/>
        <v>3.4557519189487724</v>
      </c>
      <c r="N281">
        <f t="shared" si="45"/>
        <v>802.90767255400783</v>
      </c>
      <c r="O281">
        <f t="shared" si="46"/>
        <v>84.765218359246262</v>
      </c>
      <c r="P281">
        <f t="shared" si="47"/>
        <v>625</v>
      </c>
      <c r="Q281">
        <f t="shared" si="48"/>
        <v>38.893095671510309</v>
      </c>
      <c r="R281">
        <f t="shared" si="49"/>
        <v>333.89580833766325</v>
      </c>
      <c r="S281">
        <f t="shared" si="44"/>
        <v>35.250318399560783</v>
      </c>
      <c r="T281">
        <f t="shared" si="50"/>
        <v>259.91142860451657</v>
      </c>
      <c r="U281">
        <f t="shared" si="51"/>
        <v>25.081019822601725</v>
      </c>
    </row>
    <row r="282" spans="12:21" x14ac:dyDescent="0.55000000000000004">
      <c r="L282">
        <v>276</v>
      </c>
      <c r="M282">
        <f t="shared" si="43"/>
        <v>3.4683182895631317</v>
      </c>
      <c r="N282">
        <f t="shared" si="45"/>
        <v>796.23832171917263</v>
      </c>
      <c r="O282">
        <f t="shared" si="46"/>
        <v>91.434569194081504</v>
      </c>
      <c r="P282">
        <f t="shared" si="47"/>
        <v>625</v>
      </c>
      <c r="Q282">
        <f t="shared" si="48"/>
        <v>38.893095671510309</v>
      </c>
      <c r="R282">
        <f t="shared" si="49"/>
        <v>331.12230353230854</v>
      </c>
      <c r="S282">
        <f t="shared" si="44"/>
        <v>38.023823204915594</v>
      </c>
      <c r="T282">
        <f t="shared" si="50"/>
        <v>259.91142860451657</v>
      </c>
      <c r="U282">
        <f t="shared" si="51"/>
        <v>25.081019822601725</v>
      </c>
    </row>
    <row r="283" spans="12:21" x14ac:dyDescent="0.55000000000000004">
      <c r="L283">
        <v>277</v>
      </c>
      <c r="M283">
        <f t="shared" si="43"/>
        <v>3.480884660177491</v>
      </c>
      <c r="N283">
        <f t="shared" si="45"/>
        <v>789.34638630611937</v>
      </c>
      <c r="O283">
        <f t="shared" si="46"/>
        <v>98.326504607134538</v>
      </c>
      <c r="P283">
        <f t="shared" si="47"/>
        <v>625</v>
      </c>
      <c r="Q283">
        <f t="shared" si="48"/>
        <v>38.893095671510309</v>
      </c>
      <c r="R283">
        <f t="shared" si="49"/>
        <v>328.25623508581776</v>
      </c>
      <c r="S283">
        <f t="shared" si="44"/>
        <v>40.889891651406266</v>
      </c>
      <c r="T283">
        <f t="shared" si="50"/>
        <v>259.91142860451657</v>
      </c>
      <c r="U283">
        <f t="shared" si="51"/>
        <v>25.081019822601725</v>
      </c>
    </row>
    <row r="284" spans="12:21" x14ac:dyDescent="0.55000000000000004">
      <c r="L284">
        <v>278</v>
      </c>
      <c r="M284">
        <f t="shared" si="43"/>
        <v>3.4934510307918498</v>
      </c>
      <c r="N284">
        <f t="shared" si="45"/>
        <v>782.2362194089734</v>
      </c>
      <c r="O284">
        <f t="shared" si="46"/>
        <v>105.43667150428065</v>
      </c>
      <c r="P284">
        <f t="shared" si="47"/>
        <v>625</v>
      </c>
      <c r="Q284">
        <f t="shared" si="48"/>
        <v>38.893095671510309</v>
      </c>
      <c r="R284">
        <f t="shared" si="49"/>
        <v>325.29941326845176</v>
      </c>
      <c r="S284">
        <f t="shared" si="44"/>
        <v>43.846713468772329</v>
      </c>
      <c r="T284">
        <f t="shared" si="50"/>
        <v>259.91142860451657</v>
      </c>
      <c r="U284">
        <f t="shared" si="51"/>
        <v>25.081019822601725</v>
      </c>
    </row>
    <row r="285" spans="12:21" x14ac:dyDescent="0.55000000000000004">
      <c r="L285">
        <v>279</v>
      </c>
      <c r="M285">
        <f t="shared" si="43"/>
        <v>3.5060174014062091</v>
      </c>
      <c r="N285">
        <f t="shared" si="45"/>
        <v>774.91231196154104</v>
      </c>
      <c r="O285">
        <f t="shared" si="46"/>
        <v>112.76057895171303</v>
      </c>
      <c r="P285">
        <f t="shared" si="47"/>
        <v>625</v>
      </c>
      <c r="Q285">
        <f t="shared" si="48"/>
        <v>38.893095671510309</v>
      </c>
      <c r="R285">
        <f t="shared" si="49"/>
        <v>322.25370567224468</v>
      </c>
      <c r="S285">
        <f t="shared" si="44"/>
        <v>46.892421064979381</v>
      </c>
      <c r="T285">
        <f t="shared" si="50"/>
        <v>259.91142860451657</v>
      </c>
      <c r="U285">
        <f t="shared" si="51"/>
        <v>25.081019822601725</v>
      </c>
    </row>
    <row r="286" spans="12:21" x14ac:dyDescent="0.55000000000000004">
      <c r="L286">
        <v>280</v>
      </c>
      <c r="M286">
        <f t="shared" si="43"/>
        <v>3.5185837720205684</v>
      </c>
      <c r="N286">
        <f t="shared" si="45"/>
        <v>767.37928990074272</v>
      </c>
      <c r="O286">
        <f t="shared" si="46"/>
        <v>120.2936010125114</v>
      </c>
      <c r="P286">
        <f t="shared" si="47"/>
        <v>625</v>
      </c>
      <c r="Q286">
        <f t="shared" si="48"/>
        <v>38.893095671510309</v>
      </c>
      <c r="R286">
        <f t="shared" si="49"/>
        <v>319.1210360313944</v>
      </c>
      <c r="S286">
        <f t="shared" si="44"/>
        <v>50.02509070582969</v>
      </c>
      <c r="T286">
        <f t="shared" si="50"/>
        <v>259.91142860451657</v>
      </c>
      <c r="U286">
        <f t="shared" si="51"/>
        <v>25.081019822601725</v>
      </c>
    </row>
    <row r="287" spans="12:21" x14ac:dyDescent="0.55000000000000004">
      <c r="L287">
        <v>281</v>
      </c>
      <c r="M287">
        <f t="shared" si="43"/>
        <v>3.5311501426349272</v>
      </c>
      <c r="N287">
        <f t="shared" si="45"/>
        <v>759.64191124477031</v>
      </c>
      <c r="O287">
        <f t="shared" si="46"/>
        <v>128.03097966848364</v>
      </c>
      <c r="P287">
        <f t="shared" si="47"/>
        <v>625</v>
      </c>
      <c r="Q287">
        <f t="shared" si="48"/>
        <v>38.893095671510309</v>
      </c>
      <c r="R287">
        <f t="shared" si="49"/>
        <v>315.9033830071898</v>
      </c>
      <c r="S287">
        <f t="shared" si="44"/>
        <v>53.242743730034228</v>
      </c>
      <c r="T287">
        <f t="shared" si="50"/>
        <v>259.91142860451657</v>
      </c>
      <c r="U287">
        <f t="shared" si="51"/>
        <v>25.081019822601725</v>
      </c>
    </row>
    <row r="288" spans="12:21" x14ac:dyDescent="0.55000000000000004">
      <c r="L288">
        <v>282</v>
      </c>
      <c r="M288">
        <f t="shared" si="43"/>
        <v>3.5437165132492865</v>
      </c>
      <c r="N288">
        <f t="shared" si="45"/>
        <v>751.70506308782137</v>
      </c>
      <c r="O288">
        <f t="shared" si="46"/>
        <v>135.96782782543281</v>
      </c>
      <c r="P288">
        <f t="shared" si="47"/>
        <v>625</v>
      </c>
      <c r="Q288">
        <f t="shared" si="48"/>
        <v>38.893095671510309</v>
      </c>
      <c r="R288">
        <f t="shared" si="49"/>
        <v>312.60277893824622</v>
      </c>
      <c r="S288">
        <f t="shared" si="44"/>
        <v>56.543347798977884</v>
      </c>
      <c r="T288">
        <f t="shared" si="50"/>
        <v>259.91142860451657</v>
      </c>
      <c r="U288">
        <f t="shared" si="51"/>
        <v>25.081019822601725</v>
      </c>
    </row>
    <row r="289" spans="12:21" x14ac:dyDescent="0.55000000000000004">
      <c r="L289">
        <v>283</v>
      </c>
      <c r="M289">
        <f t="shared" si="43"/>
        <v>3.5562828838636462</v>
      </c>
      <c r="N289">
        <f t="shared" si="45"/>
        <v>743.5737585133046</v>
      </c>
      <c r="O289">
        <f t="shared" si="46"/>
        <v>144.09913239994938</v>
      </c>
      <c r="P289">
        <f t="shared" si="47"/>
        <v>625</v>
      </c>
      <c r="Q289">
        <f t="shared" si="48"/>
        <v>38.893095671510309</v>
      </c>
      <c r="R289">
        <f t="shared" si="49"/>
        <v>309.2213085568365</v>
      </c>
      <c r="S289">
        <f t="shared" si="44"/>
        <v>59.924818180387554</v>
      </c>
      <c r="T289">
        <f t="shared" si="50"/>
        <v>259.91142860451657</v>
      </c>
      <c r="U289">
        <f t="shared" si="51"/>
        <v>25.081019822601725</v>
      </c>
    </row>
    <row r="290" spans="12:21" x14ac:dyDescent="0.55000000000000004">
      <c r="L290">
        <v>284</v>
      </c>
      <c r="M290">
        <f t="shared" si="43"/>
        <v>3.5688492544780051</v>
      </c>
      <c r="N290">
        <f t="shared" si="45"/>
        <v>735.25313342747233</v>
      </c>
      <c r="O290">
        <f t="shared" si="46"/>
        <v>152.4197574857817</v>
      </c>
      <c r="P290">
        <f t="shared" si="47"/>
        <v>625</v>
      </c>
      <c r="Q290">
        <f t="shared" si="48"/>
        <v>38.893095671510309</v>
      </c>
      <c r="R290">
        <f t="shared" si="49"/>
        <v>305.76110767213049</v>
      </c>
      <c r="S290">
        <f t="shared" si="44"/>
        <v>63.385019065093566</v>
      </c>
      <c r="T290">
        <f t="shared" si="50"/>
        <v>259.91142860451657</v>
      </c>
      <c r="U290">
        <f t="shared" si="51"/>
        <v>25.081019822601725</v>
      </c>
    </row>
    <row r="291" spans="12:21" x14ac:dyDescent="0.55000000000000004">
      <c r="L291">
        <v>285</v>
      </c>
      <c r="M291">
        <f t="shared" si="43"/>
        <v>3.5814156250923643</v>
      </c>
      <c r="N291">
        <f t="shared" si="45"/>
        <v>726.74844331546683</v>
      </c>
      <c r="O291">
        <f t="shared" si="46"/>
        <v>160.92444759778712</v>
      </c>
      <c r="P291">
        <f t="shared" si="47"/>
        <v>625</v>
      </c>
      <c r="Q291">
        <f t="shared" si="48"/>
        <v>38.893095671510309</v>
      </c>
      <c r="R291">
        <f t="shared" si="49"/>
        <v>302.22436182117042</v>
      </c>
      <c r="S291">
        <f t="shared" si="44"/>
        <v>66.921764916053618</v>
      </c>
      <c r="T291">
        <f t="shared" si="50"/>
        <v>259.91142860451657</v>
      </c>
      <c r="U291">
        <f t="shared" si="51"/>
        <v>25.081019822601725</v>
      </c>
    </row>
    <row r="292" spans="12:21" x14ac:dyDescent="0.55000000000000004">
      <c r="L292">
        <v>286</v>
      </c>
      <c r="M292">
        <f t="shared" si="43"/>
        <v>3.5939819957067236</v>
      </c>
      <c r="N292">
        <f t="shared" si="45"/>
        <v>718.06505992184771</v>
      </c>
      <c r="O292">
        <f t="shared" si="46"/>
        <v>169.60783099140627</v>
      </c>
      <c r="P292">
        <f t="shared" si="47"/>
        <v>625</v>
      </c>
      <c r="Q292">
        <f t="shared" si="48"/>
        <v>38.893095671510309</v>
      </c>
      <c r="R292">
        <f t="shared" si="49"/>
        <v>298.61330488844033</v>
      </c>
      <c r="S292">
        <f t="shared" si="44"/>
        <v>70.532821848783684</v>
      </c>
      <c r="T292">
        <f t="shared" si="50"/>
        <v>259.91142860451657</v>
      </c>
      <c r="U292">
        <f t="shared" si="51"/>
        <v>25.081019822601721</v>
      </c>
    </row>
    <row r="293" spans="12:21" x14ac:dyDescent="0.55000000000000004">
      <c r="L293">
        <v>287</v>
      </c>
      <c r="M293">
        <f t="shared" si="43"/>
        <v>3.6065483663210824</v>
      </c>
      <c r="N293">
        <f t="shared" si="45"/>
        <v>709.20846785768117</v>
      </c>
      <c r="O293">
        <f t="shared" si="46"/>
        <v>178.46442305557289</v>
      </c>
      <c r="P293">
        <f t="shared" si="47"/>
        <v>625</v>
      </c>
      <c r="Q293">
        <f t="shared" si="48"/>
        <v>38.893095671510309</v>
      </c>
      <c r="R293">
        <f t="shared" si="49"/>
        <v>294.93021769489638</v>
      </c>
      <c r="S293">
        <f t="shared" si="44"/>
        <v>74.215909042327638</v>
      </c>
      <c r="T293">
        <f t="shared" si="50"/>
        <v>259.91142860451657</v>
      </c>
      <c r="U293">
        <f t="shared" si="51"/>
        <v>25.081019822601721</v>
      </c>
    </row>
    <row r="294" spans="12:21" x14ac:dyDescent="0.55000000000000004">
      <c r="L294">
        <v>288</v>
      </c>
      <c r="M294">
        <f t="shared" si="43"/>
        <v>3.6191147369354417</v>
      </c>
      <c r="N294">
        <f t="shared" si="45"/>
        <v>700.18426113634098</v>
      </c>
      <c r="O294">
        <f t="shared" si="46"/>
        <v>187.48862977691306</v>
      </c>
      <c r="P294">
        <f t="shared" si="47"/>
        <v>625</v>
      </c>
      <c r="Q294">
        <f t="shared" si="48"/>
        <v>38.893095671510309</v>
      </c>
      <c r="R294">
        <f t="shared" si="49"/>
        <v>291.17742655735083</v>
      </c>
      <c r="S294">
        <f t="shared" si="44"/>
        <v>77.968700179873238</v>
      </c>
      <c r="T294">
        <f t="shared" si="50"/>
        <v>259.91142860451657</v>
      </c>
      <c r="U294">
        <f t="shared" si="51"/>
        <v>25.081019822601725</v>
      </c>
    </row>
    <row r="295" spans="12:21" x14ac:dyDescent="0.55000000000000004">
      <c r="L295">
        <v>289</v>
      </c>
      <c r="M295">
        <f t="shared" si="43"/>
        <v>3.631681107549801</v>
      </c>
      <c r="N295">
        <f t="shared" si="45"/>
        <v>690.99813964021223</v>
      </c>
      <c r="O295">
        <f t="shared" si="46"/>
        <v>196.67475127304181</v>
      </c>
      <c r="P295">
        <f t="shared" si="47"/>
        <v>625</v>
      </c>
      <c r="Q295">
        <f t="shared" si="48"/>
        <v>38.893095671510309</v>
      </c>
      <c r="R295">
        <f t="shared" si="49"/>
        <v>287.35730181912123</v>
      </c>
      <c r="S295">
        <f t="shared" si="44"/>
        <v>81.788824918102819</v>
      </c>
      <c r="T295">
        <f t="shared" si="50"/>
        <v>259.91142860451657</v>
      </c>
      <c r="U295">
        <f t="shared" si="51"/>
        <v>25.081019822601725</v>
      </c>
    </row>
    <row r="296" spans="12:21" x14ac:dyDescent="0.55000000000000004">
      <c r="L296">
        <v>290</v>
      </c>
      <c r="M296">
        <f t="shared" si="43"/>
        <v>3.6442474781641598</v>
      </c>
      <c r="N296">
        <f t="shared" si="45"/>
        <v>681.65590552052186</v>
      </c>
      <c r="O296">
        <f t="shared" si="46"/>
        <v>206.01698539273207</v>
      </c>
      <c r="P296">
        <f t="shared" si="47"/>
        <v>625</v>
      </c>
      <c r="Q296">
        <f t="shared" si="48"/>
        <v>38.893095671510309</v>
      </c>
      <c r="R296">
        <f t="shared" si="49"/>
        <v>283.47225635287072</v>
      </c>
      <c r="S296">
        <f t="shared" si="44"/>
        <v>85.673870384353293</v>
      </c>
      <c r="T296">
        <f t="shared" si="50"/>
        <v>259.91142860451657</v>
      </c>
      <c r="U296">
        <f t="shared" si="51"/>
        <v>25.081019822601721</v>
      </c>
    </row>
    <row r="297" spans="12:21" x14ac:dyDescent="0.55000000000000004">
      <c r="L297">
        <v>291</v>
      </c>
      <c r="M297">
        <f t="shared" si="43"/>
        <v>3.6568138487785191</v>
      </c>
      <c r="N297">
        <f t="shared" si="45"/>
        <v>672.16345953257542</v>
      </c>
      <c r="O297">
        <f t="shared" si="46"/>
        <v>215.50943138067865</v>
      </c>
      <c r="P297">
        <f t="shared" si="47"/>
        <v>625</v>
      </c>
      <c r="Q297">
        <f t="shared" si="48"/>
        <v>38.893095671510309</v>
      </c>
      <c r="R297">
        <f t="shared" si="49"/>
        <v>279.52474403658533</v>
      </c>
      <c r="S297">
        <f t="shared" si="44"/>
        <v>89.621382700638748</v>
      </c>
      <c r="T297">
        <f t="shared" si="50"/>
        <v>259.91142860451657</v>
      </c>
      <c r="U297">
        <f t="shared" si="51"/>
        <v>25.081019822601725</v>
      </c>
    </row>
    <row r="298" spans="12:21" x14ac:dyDescent="0.55000000000000004">
      <c r="L298">
        <v>292</v>
      </c>
      <c r="M298">
        <f t="shared" si="43"/>
        <v>3.6693802193928784</v>
      </c>
      <c r="N298">
        <f t="shared" si="45"/>
        <v>662.52679730871421</v>
      </c>
      <c r="O298">
        <f t="shared" si="46"/>
        <v>225.14609360453983</v>
      </c>
      <c r="P298">
        <f t="shared" si="47"/>
        <v>625</v>
      </c>
      <c r="Q298">
        <f t="shared" si="48"/>
        <v>38.893095671510309</v>
      </c>
      <c r="R298">
        <f t="shared" si="49"/>
        <v>275.5172582036526</v>
      </c>
      <c r="S298">
        <f t="shared" si="44"/>
        <v>93.628868533571449</v>
      </c>
      <c r="T298">
        <f t="shared" si="50"/>
        <v>259.91142860451657</v>
      </c>
      <c r="U298">
        <f t="shared" si="51"/>
        <v>25.081019822601725</v>
      </c>
    </row>
    <row r="299" spans="12:21" x14ac:dyDescent="0.55000000000000004">
      <c r="L299">
        <v>293</v>
      </c>
      <c r="M299">
        <f t="shared" si="43"/>
        <v>3.6819465900072372</v>
      </c>
      <c r="N299">
        <f t="shared" si="45"/>
        <v>652.75200557134588</v>
      </c>
      <c r="O299">
        <f t="shared" si="46"/>
        <v>234.92088534190819</v>
      </c>
      <c r="P299">
        <f t="shared" si="47"/>
        <v>625</v>
      </c>
      <c r="Q299">
        <f t="shared" si="48"/>
        <v>38.893095671510309</v>
      </c>
      <c r="R299">
        <f t="shared" si="49"/>
        <v>271.45233006801897</v>
      </c>
      <c r="S299">
        <f t="shared" si="44"/>
        <v>97.693796669205099</v>
      </c>
      <c r="T299">
        <f t="shared" si="50"/>
        <v>259.91142860451657</v>
      </c>
      <c r="U299">
        <f t="shared" si="51"/>
        <v>25.081019822601725</v>
      </c>
    </row>
    <row r="300" spans="12:21" x14ac:dyDescent="0.55000000000000004">
      <c r="L300">
        <v>294</v>
      </c>
      <c r="M300">
        <f t="shared" si="43"/>
        <v>3.694512960621597</v>
      </c>
      <c r="N300">
        <f t="shared" si="45"/>
        <v>642.84525828843766</v>
      </c>
      <c r="O300">
        <f t="shared" si="46"/>
        <v>244.82763262481654</v>
      </c>
      <c r="P300">
        <f t="shared" si="47"/>
        <v>625</v>
      </c>
      <c r="Q300">
        <f t="shared" si="48"/>
        <v>38.893095671510309</v>
      </c>
      <c r="R300">
        <f t="shared" si="49"/>
        <v>267.33252712541963</v>
      </c>
      <c r="S300">
        <f t="shared" si="44"/>
        <v>101.81359961180449</v>
      </c>
      <c r="T300">
        <f t="shared" si="50"/>
        <v>259.91142860451657</v>
      </c>
      <c r="U300">
        <f t="shared" si="51"/>
        <v>25.081019822601725</v>
      </c>
    </row>
    <row r="301" spans="12:21" x14ac:dyDescent="0.55000000000000004">
      <c r="L301">
        <v>295</v>
      </c>
      <c r="M301">
        <f t="shared" si="43"/>
        <v>3.7070793312359562</v>
      </c>
      <c r="N301">
        <f t="shared" si="45"/>
        <v>632.81281277390951</v>
      </c>
      <c r="O301">
        <f t="shared" si="46"/>
        <v>254.86007813934449</v>
      </c>
      <c r="P301">
        <f t="shared" si="47"/>
        <v>625</v>
      </c>
      <c r="Q301">
        <f t="shared" si="48"/>
        <v>38.893095671510309</v>
      </c>
      <c r="R301">
        <f t="shared" si="49"/>
        <v>263.16045153169483</v>
      </c>
      <c r="S301">
        <f t="shared" si="44"/>
        <v>105.98567520552919</v>
      </c>
      <c r="T301">
        <f t="shared" si="50"/>
        <v>259.91142860451657</v>
      </c>
      <c r="U301">
        <f t="shared" si="51"/>
        <v>25.081019822601721</v>
      </c>
    </row>
    <row r="302" spans="12:21" x14ac:dyDescent="0.55000000000000004">
      <c r="L302">
        <v>296</v>
      </c>
      <c r="M302">
        <f t="shared" si="43"/>
        <v>3.7196457018503151</v>
      </c>
      <c r="N302">
        <f t="shared" si="45"/>
        <v>622.66100573537813</v>
      </c>
      <c r="O302">
        <f t="shared" si="46"/>
        <v>265.01188517787591</v>
      </c>
      <c r="P302">
        <f t="shared" si="47"/>
        <v>625</v>
      </c>
      <c r="Q302">
        <f t="shared" si="48"/>
        <v>38.893095671510309</v>
      </c>
      <c r="R302">
        <f t="shared" si="49"/>
        <v>258.93873845921155</v>
      </c>
      <c r="S302">
        <f t="shared" si="44"/>
        <v>110.20738827801253</v>
      </c>
      <c r="T302">
        <f t="shared" si="50"/>
        <v>259.91142860451657</v>
      </c>
      <c r="U302">
        <f t="shared" si="51"/>
        <v>25.081019822601725</v>
      </c>
    </row>
    <row r="303" spans="12:21" x14ac:dyDescent="0.55000000000000004">
      <c r="L303">
        <v>297</v>
      </c>
      <c r="M303">
        <f t="shared" si="43"/>
        <v>3.7322120724646743</v>
      </c>
      <c r="N303">
        <f t="shared" si="45"/>
        <v>612.39624927175612</v>
      </c>
      <c r="O303">
        <f t="shared" si="46"/>
        <v>275.27664164149797</v>
      </c>
      <c r="P303">
        <f t="shared" si="47"/>
        <v>625</v>
      </c>
      <c r="Q303">
        <f t="shared" si="48"/>
        <v>38.893095671510309</v>
      </c>
      <c r="R303">
        <f t="shared" si="49"/>
        <v>254.67005443243161</v>
      </c>
      <c r="S303">
        <f t="shared" si="44"/>
        <v>114.47607230479245</v>
      </c>
      <c r="T303">
        <f t="shared" si="50"/>
        <v>259.91142860451657</v>
      </c>
      <c r="U303">
        <f t="shared" si="51"/>
        <v>25.081019822601725</v>
      </c>
    </row>
    <row r="304" spans="12:21" x14ac:dyDescent="0.55000000000000004">
      <c r="L304">
        <v>298</v>
      </c>
      <c r="M304">
        <f t="shared" si="43"/>
        <v>3.7447784430790336</v>
      </c>
      <c r="N304">
        <f t="shared" si="45"/>
        <v>602.0250268232345</v>
      </c>
      <c r="O304">
        <f t="shared" si="46"/>
        <v>285.64786409001937</v>
      </c>
      <c r="P304">
        <f t="shared" si="47"/>
        <v>625</v>
      </c>
      <c r="Q304">
        <f t="shared" si="48"/>
        <v>38.893095671510309</v>
      </c>
      <c r="R304">
        <f t="shared" si="49"/>
        <v>250.35709564367886</v>
      </c>
      <c r="S304">
        <f t="shared" si="44"/>
        <v>118.78903109354515</v>
      </c>
      <c r="T304">
        <f t="shared" si="50"/>
        <v>259.91142860451657</v>
      </c>
      <c r="U304">
        <f t="shared" si="51"/>
        <v>25.081019822601721</v>
      </c>
    </row>
    <row r="305" spans="12:21" x14ac:dyDescent="0.55000000000000004">
      <c r="L305">
        <v>299</v>
      </c>
      <c r="M305">
        <f t="shared" si="43"/>
        <v>3.7573448136933925</v>
      </c>
      <c r="N305">
        <f t="shared" si="45"/>
        <v>591.55388907620318</v>
      </c>
      <c r="O305">
        <f t="shared" si="46"/>
        <v>296.1190018370508</v>
      </c>
      <c r="P305">
        <f t="shared" si="47"/>
        <v>625</v>
      </c>
      <c r="Q305">
        <f t="shared" si="48"/>
        <v>38.893095671510309</v>
      </c>
      <c r="R305">
        <f t="shared" si="49"/>
        <v>246.00258625016588</v>
      </c>
      <c r="S305">
        <f t="shared" si="44"/>
        <v>123.14354048705813</v>
      </c>
      <c r="T305">
        <f t="shared" si="50"/>
        <v>259.91142860451657</v>
      </c>
      <c r="U305">
        <f t="shared" si="51"/>
        <v>25.081019822601721</v>
      </c>
    </row>
    <row r="306" spans="12:21" x14ac:dyDescent="0.55000000000000004">
      <c r="L306">
        <v>300</v>
      </c>
      <c r="M306">
        <f t="shared" si="43"/>
        <v>3.7699111843077517</v>
      </c>
      <c r="N306">
        <f t="shared" si="45"/>
        <v>580.98944982569435</v>
      </c>
      <c r="O306">
        <f t="shared" si="46"/>
        <v>306.68344108755974</v>
      </c>
      <c r="P306">
        <f t="shared" si="47"/>
        <v>625</v>
      </c>
      <c r="Q306">
        <f t="shared" si="48"/>
        <v>38.893095671510309</v>
      </c>
      <c r="R306">
        <f t="shared" si="49"/>
        <v>241.60927665335731</v>
      </c>
      <c r="S306">
        <f t="shared" si="44"/>
        <v>127.53685008386678</v>
      </c>
      <c r="T306">
        <f t="shared" si="50"/>
        <v>259.91142860451657</v>
      </c>
      <c r="U306">
        <f t="shared" si="51"/>
        <v>25.081019822601725</v>
      </c>
    </row>
    <row r="307" spans="12:21" x14ac:dyDescent="0.55000000000000004">
      <c r="L307">
        <v>301</v>
      </c>
      <c r="M307">
        <f t="shared" si="43"/>
        <v>3.782477554922111</v>
      </c>
      <c r="N307">
        <f t="shared" si="45"/>
        <v>570.33838179797078</v>
      </c>
      <c r="O307">
        <f t="shared" si="46"/>
        <v>317.33450911528337</v>
      </c>
      <c r="P307">
        <f t="shared" si="47"/>
        <v>625</v>
      </c>
      <c r="Q307">
        <f t="shared" si="48"/>
        <v>38.893095671510309</v>
      </c>
      <c r="R307">
        <f t="shared" si="49"/>
        <v>237.17994176175802</v>
      </c>
      <c r="S307">
        <f t="shared" si="44"/>
        <v>131.96618497546604</v>
      </c>
      <c r="T307">
        <f t="shared" si="50"/>
        <v>259.91142860451657</v>
      </c>
      <c r="U307">
        <f t="shared" si="51"/>
        <v>25.081019822601725</v>
      </c>
    </row>
    <row r="308" spans="12:21" x14ac:dyDescent="0.55000000000000004">
      <c r="L308">
        <v>302</v>
      </c>
      <c r="M308">
        <f t="shared" si="43"/>
        <v>3.7950439255364699</v>
      </c>
      <c r="N308">
        <f t="shared" si="45"/>
        <v>559.60741243588768</v>
      </c>
      <c r="O308">
        <f t="shared" si="46"/>
        <v>328.06547847736636</v>
      </c>
      <c r="P308">
        <f t="shared" si="47"/>
        <v>625</v>
      </c>
      <c r="Q308">
        <f t="shared" si="48"/>
        <v>38.893095671510309</v>
      </c>
      <c r="R308">
        <f t="shared" si="49"/>
        <v>232.71737923822155</v>
      </c>
      <c r="S308">
        <f t="shared" si="44"/>
        <v>136.4287474990025</v>
      </c>
      <c r="T308">
        <f t="shared" si="50"/>
        <v>259.91142860451657</v>
      </c>
      <c r="U308">
        <f t="shared" si="51"/>
        <v>25.081019822601725</v>
      </c>
    </row>
    <row r="309" spans="12:21" x14ac:dyDescent="0.55000000000000004">
      <c r="L309">
        <v>303</v>
      </c>
      <c r="M309">
        <f t="shared" si="43"/>
        <v>3.8076102961508291</v>
      </c>
      <c r="N309">
        <f t="shared" si="45"/>
        <v>548.80331964969457</v>
      </c>
      <c r="O309">
        <f t="shared" si="46"/>
        <v>338.86957126355941</v>
      </c>
      <c r="P309">
        <f t="shared" si="47"/>
        <v>625</v>
      </c>
      <c r="Q309">
        <f t="shared" si="48"/>
        <v>38.893095671510309</v>
      </c>
      <c r="R309">
        <f t="shared" si="49"/>
        <v>228.2244077328852</v>
      </c>
      <c r="S309">
        <f t="shared" si="44"/>
        <v>140.9217190043388</v>
      </c>
      <c r="T309">
        <f t="shared" si="50"/>
        <v>259.91142860451657</v>
      </c>
      <c r="U309">
        <f t="shared" si="51"/>
        <v>25.081019822601721</v>
      </c>
    </row>
    <row r="310" spans="12:21" x14ac:dyDescent="0.55000000000000004">
      <c r="L310">
        <v>304</v>
      </c>
      <c r="M310">
        <f t="shared" si="43"/>
        <v>3.8201766667651884</v>
      </c>
      <c r="N310">
        <f t="shared" si="45"/>
        <v>537.93292753596438</v>
      </c>
      <c r="O310">
        <f t="shared" si="46"/>
        <v>349.73996337728977</v>
      </c>
      <c r="P310">
        <f t="shared" si="47"/>
        <v>625</v>
      </c>
      <c r="Q310">
        <f t="shared" si="48"/>
        <v>38.893095671510309</v>
      </c>
      <c r="R310">
        <f t="shared" si="49"/>
        <v>223.70386510285178</v>
      </c>
      <c r="S310">
        <f t="shared" si="44"/>
        <v>145.44226163437227</v>
      </c>
      <c r="T310">
        <f t="shared" si="50"/>
        <v>259.91142860451657</v>
      </c>
      <c r="U310">
        <f t="shared" si="51"/>
        <v>25.081019822601725</v>
      </c>
    </row>
    <row r="311" spans="12:21" x14ac:dyDescent="0.55000000000000004">
      <c r="L311">
        <v>305</v>
      </c>
      <c r="M311">
        <f t="shared" si="43"/>
        <v>3.8327430373795477</v>
      </c>
      <c r="N311">
        <f t="shared" si="45"/>
        <v>527.00310206734503</v>
      </c>
      <c r="O311">
        <f t="shared" si="46"/>
        <v>360.6697888459089</v>
      </c>
      <c r="P311">
        <f t="shared" si="47"/>
        <v>625</v>
      </c>
      <c r="Q311">
        <f t="shared" si="48"/>
        <v>38.893095671510309</v>
      </c>
      <c r="R311">
        <f t="shared" si="49"/>
        <v>219.15860661973679</v>
      </c>
      <c r="S311">
        <f t="shared" si="44"/>
        <v>149.98752011748721</v>
      </c>
      <c r="T311">
        <f t="shared" si="50"/>
        <v>259.91142860451657</v>
      </c>
      <c r="U311">
        <f t="shared" si="51"/>
        <v>25.081019822601721</v>
      </c>
    </row>
    <row r="312" spans="12:21" x14ac:dyDescent="0.55000000000000004">
      <c r="L312">
        <v>306</v>
      </c>
      <c r="M312">
        <f t="shared" si="43"/>
        <v>3.845309407993907</v>
      </c>
      <c r="N312">
        <f t="shared" si="45"/>
        <v>516.02074675586641</v>
      </c>
      <c r="O312">
        <f t="shared" si="46"/>
        <v>371.65214415738762</v>
      </c>
      <c r="P312">
        <f t="shared" si="47"/>
        <v>625</v>
      </c>
      <c r="Q312">
        <f t="shared" si="48"/>
        <v>38.893095671510309</v>
      </c>
      <c r="R312">
        <f t="shared" si="49"/>
        <v>214.59150316621873</v>
      </c>
      <c r="S312">
        <f t="shared" si="44"/>
        <v>154.55462357100535</v>
      </c>
      <c r="T312">
        <f t="shared" si="50"/>
        <v>259.91142860451657</v>
      </c>
      <c r="U312">
        <f t="shared" si="51"/>
        <v>25.081019822601725</v>
      </c>
    </row>
    <row r="313" spans="12:21" x14ac:dyDescent="0.55000000000000004">
      <c r="L313">
        <v>307</v>
      </c>
      <c r="M313">
        <f t="shared" si="43"/>
        <v>3.8578757786082662</v>
      </c>
      <c r="N313">
        <f t="shared" si="45"/>
        <v>504.99279829253214</v>
      </c>
      <c r="O313">
        <f t="shared" si="46"/>
        <v>382.68009262072195</v>
      </c>
      <c r="P313">
        <f t="shared" si="47"/>
        <v>625</v>
      </c>
      <c r="Q313">
        <f t="shared" si="48"/>
        <v>38.893095671510309</v>
      </c>
      <c r="R313">
        <f t="shared" si="49"/>
        <v>210.00543942272719</v>
      </c>
      <c r="S313">
        <f t="shared" si="44"/>
        <v>159.14068731449689</v>
      </c>
      <c r="T313">
        <f t="shared" si="50"/>
        <v>259.91142860451657</v>
      </c>
      <c r="U313">
        <f t="shared" si="51"/>
        <v>25.081019822601725</v>
      </c>
    </row>
    <row r="314" spans="12:21" x14ac:dyDescent="0.55000000000000004">
      <c r="L314">
        <v>308</v>
      </c>
      <c r="M314">
        <f t="shared" si="43"/>
        <v>3.8704421492226251</v>
      </c>
      <c r="N314">
        <f t="shared" si="45"/>
        <v>493.92622216595822</v>
      </c>
      <c r="O314">
        <f t="shared" si="46"/>
        <v>393.74666874729564</v>
      </c>
      <c r="P314">
        <f t="shared" si="47"/>
        <v>625</v>
      </c>
      <c r="Q314">
        <f t="shared" si="48"/>
        <v>38.893095671510309</v>
      </c>
      <c r="R314">
        <f t="shared" si="49"/>
        <v>205.40331204541766</v>
      </c>
      <c r="S314">
        <f t="shared" si="44"/>
        <v>163.74281469180633</v>
      </c>
      <c r="T314">
        <f t="shared" si="50"/>
        <v>259.91142860451657</v>
      </c>
      <c r="U314">
        <f t="shared" si="51"/>
        <v>25.081019822601721</v>
      </c>
    </row>
    <row r="315" spans="12:21" x14ac:dyDescent="0.55000000000000004">
      <c r="L315">
        <v>309</v>
      </c>
      <c r="M315">
        <f t="shared" si="43"/>
        <v>3.8830085198369844</v>
      </c>
      <c r="N315">
        <f t="shared" si="45"/>
        <v>482.82800826282045</v>
      </c>
      <c r="O315">
        <f t="shared" si="46"/>
        <v>404.84488265043359</v>
      </c>
      <c r="P315">
        <f t="shared" si="47"/>
        <v>625</v>
      </c>
      <c r="Q315">
        <f t="shared" si="48"/>
        <v>38.893095671510309</v>
      </c>
      <c r="R315">
        <f t="shared" si="49"/>
        <v>200.78802783658077</v>
      </c>
      <c r="S315">
        <f t="shared" si="44"/>
        <v>168.35809890064328</v>
      </c>
      <c r="T315">
        <f t="shared" si="50"/>
        <v>259.91142860451657</v>
      </c>
      <c r="U315">
        <f t="shared" si="51"/>
        <v>25.081019822601725</v>
      </c>
    </row>
    <row r="316" spans="12:21" x14ac:dyDescent="0.55000000000000004">
      <c r="L316">
        <v>310</v>
      </c>
      <c r="M316">
        <f t="shared" si="43"/>
        <v>3.8955748904513436</v>
      </c>
      <c r="N316">
        <f t="shared" si="45"/>
        <v>471.70516645289246</v>
      </c>
      <c r="O316">
        <f t="shared" si="46"/>
        <v>415.96772446036169</v>
      </c>
      <c r="P316">
        <f t="shared" si="47"/>
        <v>625</v>
      </c>
      <c r="Q316">
        <f t="shared" si="48"/>
        <v>38.893095671510309</v>
      </c>
      <c r="R316">
        <f t="shared" si="49"/>
        <v>196.16250190864406</v>
      </c>
      <c r="S316">
        <f t="shared" si="44"/>
        <v>172.98362482858002</v>
      </c>
      <c r="T316">
        <f t="shared" si="50"/>
        <v>259.91142860451657</v>
      </c>
      <c r="U316">
        <f t="shared" si="51"/>
        <v>25.081019822601725</v>
      </c>
    </row>
    <row r="317" spans="12:21" x14ac:dyDescent="0.55000000000000004">
      <c r="L317">
        <v>311</v>
      </c>
      <c r="M317">
        <f t="shared" si="43"/>
        <v>3.9081412610657025</v>
      </c>
      <c r="N317">
        <f t="shared" si="45"/>
        <v>460.5647221614621</v>
      </c>
      <c r="O317">
        <f t="shared" si="46"/>
        <v>427.10816875179199</v>
      </c>
      <c r="P317">
        <f t="shared" si="47"/>
        <v>625</v>
      </c>
      <c r="Q317">
        <f t="shared" si="48"/>
        <v>38.893095671510309</v>
      </c>
      <c r="R317">
        <f t="shared" si="49"/>
        <v>191.52965584292457</v>
      </c>
      <c r="S317">
        <f t="shared" si="44"/>
        <v>177.61647089429951</v>
      </c>
      <c r="T317">
        <f t="shared" si="50"/>
        <v>259.91142860451657</v>
      </c>
      <c r="U317">
        <f t="shared" si="51"/>
        <v>25.081019822601725</v>
      </c>
    </row>
    <row r="318" spans="12:21" x14ac:dyDescent="0.55000000000000004">
      <c r="L318">
        <v>312</v>
      </c>
      <c r="M318">
        <f t="shared" si="43"/>
        <v>3.9207076316800618</v>
      </c>
      <c r="N318">
        <f t="shared" si="45"/>
        <v>449.4137119319206</v>
      </c>
      <c r="O318">
        <f t="shared" si="46"/>
        <v>438.25917898133343</v>
      </c>
      <c r="P318">
        <f t="shared" si="47"/>
        <v>625</v>
      </c>
      <c r="Q318">
        <f t="shared" si="48"/>
        <v>38.893095671510309</v>
      </c>
      <c r="R318">
        <f t="shared" si="49"/>
        <v>186.89241584429462</v>
      </c>
      <c r="S318">
        <f t="shared" si="44"/>
        <v>182.25371089292943</v>
      </c>
      <c r="T318">
        <f t="shared" si="50"/>
        <v>259.91142860451657</v>
      </c>
      <c r="U318">
        <f t="shared" si="51"/>
        <v>25.081019822601725</v>
      </c>
    </row>
    <row r="319" spans="12:21" x14ac:dyDescent="0.55000000000000004">
      <c r="L319">
        <v>313</v>
      </c>
      <c r="M319">
        <f t="shared" si="43"/>
        <v>3.933274002294421</v>
      </c>
      <c r="N319">
        <f t="shared" si="45"/>
        <v>438.25917898133372</v>
      </c>
      <c r="O319">
        <f t="shared" si="46"/>
        <v>449.41371193192032</v>
      </c>
      <c r="P319">
        <f t="shared" si="47"/>
        <v>625</v>
      </c>
      <c r="Q319">
        <f t="shared" si="48"/>
        <v>38.893095671510309</v>
      </c>
      <c r="R319">
        <f t="shared" si="49"/>
        <v>182.25371089292952</v>
      </c>
      <c r="S319">
        <f t="shared" si="44"/>
        <v>186.8924158442945</v>
      </c>
      <c r="T319">
        <f t="shared" si="50"/>
        <v>259.91142860451657</v>
      </c>
      <c r="U319">
        <f t="shared" si="51"/>
        <v>25.081019822601721</v>
      </c>
    </row>
    <row r="320" spans="12:21" x14ac:dyDescent="0.55000000000000004">
      <c r="L320">
        <v>314</v>
      </c>
      <c r="M320">
        <f t="shared" si="43"/>
        <v>3.9458403729087799</v>
      </c>
      <c r="N320">
        <f t="shared" si="45"/>
        <v>427.10816875179268</v>
      </c>
      <c r="O320">
        <f t="shared" si="46"/>
        <v>460.5647221614613</v>
      </c>
      <c r="P320">
        <f t="shared" si="47"/>
        <v>625</v>
      </c>
      <c r="Q320">
        <f t="shared" si="48"/>
        <v>38.893095671510309</v>
      </c>
      <c r="R320">
        <f t="shared" si="49"/>
        <v>177.61647089429979</v>
      </c>
      <c r="S320">
        <f t="shared" si="44"/>
        <v>191.52965584292426</v>
      </c>
      <c r="T320">
        <f t="shared" si="50"/>
        <v>259.91142860451657</v>
      </c>
      <c r="U320">
        <f t="shared" si="51"/>
        <v>25.081019822601725</v>
      </c>
    </row>
    <row r="321" spans="12:21" x14ac:dyDescent="0.55000000000000004">
      <c r="L321">
        <v>315</v>
      </c>
      <c r="M321">
        <f t="shared" si="43"/>
        <v>3.9584067435231396</v>
      </c>
      <c r="N321">
        <f t="shared" si="45"/>
        <v>415.96772446036158</v>
      </c>
      <c r="O321">
        <f t="shared" si="46"/>
        <v>471.70516645289246</v>
      </c>
      <c r="P321">
        <f t="shared" si="47"/>
        <v>625</v>
      </c>
      <c r="Q321">
        <f t="shared" si="48"/>
        <v>38.893095671510309</v>
      </c>
      <c r="R321">
        <f t="shared" si="49"/>
        <v>172.98362482857996</v>
      </c>
      <c r="S321">
        <f t="shared" si="44"/>
        <v>196.16250190864406</v>
      </c>
      <c r="T321">
        <f t="shared" si="50"/>
        <v>259.91142860451657</v>
      </c>
      <c r="U321">
        <f t="shared" si="51"/>
        <v>25.081019822601721</v>
      </c>
    </row>
    <row r="322" spans="12:21" x14ac:dyDescent="0.55000000000000004">
      <c r="L322">
        <v>316</v>
      </c>
      <c r="M322">
        <f t="shared" si="43"/>
        <v>3.9709731141374989</v>
      </c>
      <c r="N322">
        <f t="shared" si="45"/>
        <v>404.84488265043342</v>
      </c>
      <c r="O322">
        <f t="shared" si="46"/>
        <v>482.82800826282056</v>
      </c>
      <c r="P322">
        <f t="shared" si="47"/>
        <v>625</v>
      </c>
      <c r="Q322">
        <f t="shared" si="48"/>
        <v>38.893095671510309</v>
      </c>
      <c r="R322">
        <f t="shared" si="49"/>
        <v>168.35809890064323</v>
      </c>
      <c r="S322">
        <f t="shared" si="44"/>
        <v>200.78802783658082</v>
      </c>
      <c r="T322">
        <f t="shared" si="50"/>
        <v>259.91142860451657</v>
      </c>
      <c r="U322">
        <f t="shared" si="51"/>
        <v>25.081019822601725</v>
      </c>
    </row>
    <row r="323" spans="12:21" x14ac:dyDescent="0.55000000000000004">
      <c r="L323">
        <v>317</v>
      </c>
      <c r="M323">
        <f t="shared" si="43"/>
        <v>3.9835394847518577</v>
      </c>
      <c r="N323">
        <f t="shared" si="45"/>
        <v>393.74666874729587</v>
      </c>
      <c r="O323">
        <f t="shared" si="46"/>
        <v>493.92622216595817</v>
      </c>
      <c r="P323">
        <f t="shared" si="47"/>
        <v>625</v>
      </c>
      <c r="Q323">
        <f t="shared" si="48"/>
        <v>38.893095671510309</v>
      </c>
      <c r="R323">
        <f t="shared" si="49"/>
        <v>163.74281469180644</v>
      </c>
      <c r="S323">
        <f t="shared" si="44"/>
        <v>205.40331204541761</v>
      </c>
      <c r="T323">
        <f t="shared" si="50"/>
        <v>259.91142860451657</v>
      </c>
      <c r="U323">
        <f t="shared" si="51"/>
        <v>25.081019822601725</v>
      </c>
    </row>
    <row r="324" spans="12:21" x14ac:dyDescent="0.55000000000000004">
      <c r="L324">
        <v>318</v>
      </c>
      <c r="M324">
        <f t="shared" si="43"/>
        <v>3.996105855366217</v>
      </c>
      <c r="N324">
        <f t="shared" si="45"/>
        <v>382.68009262072184</v>
      </c>
      <c r="O324">
        <f t="shared" si="46"/>
        <v>504.99279829253214</v>
      </c>
      <c r="P324">
        <f t="shared" si="47"/>
        <v>625</v>
      </c>
      <c r="Q324">
        <f t="shared" si="48"/>
        <v>38.893095671510309</v>
      </c>
      <c r="R324">
        <f t="shared" si="49"/>
        <v>159.14068731449686</v>
      </c>
      <c r="S324">
        <f t="shared" si="44"/>
        <v>210.00543942272719</v>
      </c>
      <c r="T324">
        <f t="shared" si="50"/>
        <v>259.91142860451657</v>
      </c>
      <c r="U324">
        <f t="shared" si="51"/>
        <v>25.081019822601725</v>
      </c>
    </row>
    <row r="325" spans="12:21" x14ac:dyDescent="0.55000000000000004">
      <c r="L325">
        <v>319</v>
      </c>
      <c r="M325">
        <f t="shared" si="43"/>
        <v>4.0086722259805763</v>
      </c>
      <c r="N325">
        <f t="shared" si="45"/>
        <v>371.65214415738751</v>
      </c>
      <c r="O325">
        <f t="shared" si="46"/>
        <v>516.02074675586641</v>
      </c>
      <c r="P325">
        <f t="shared" si="47"/>
        <v>625</v>
      </c>
      <c r="Q325">
        <f t="shared" si="48"/>
        <v>38.893095671510309</v>
      </c>
      <c r="R325">
        <f t="shared" si="49"/>
        <v>154.55462357100532</v>
      </c>
      <c r="S325">
        <f t="shared" si="44"/>
        <v>214.59150316621873</v>
      </c>
      <c r="T325">
        <f t="shared" si="50"/>
        <v>259.91142860451657</v>
      </c>
      <c r="U325">
        <f t="shared" si="51"/>
        <v>25.081019822601725</v>
      </c>
    </row>
    <row r="326" spans="12:21" x14ac:dyDescent="0.55000000000000004">
      <c r="L326">
        <v>320</v>
      </c>
      <c r="M326">
        <f t="shared" si="43"/>
        <v>4.0212385965949355</v>
      </c>
      <c r="N326">
        <f t="shared" si="45"/>
        <v>360.66978884590873</v>
      </c>
      <c r="O326">
        <f t="shared" si="46"/>
        <v>527.00310206734525</v>
      </c>
      <c r="P326">
        <f t="shared" si="47"/>
        <v>625</v>
      </c>
      <c r="Q326">
        <f t="shared" si="48"/>
        <v>38.893095671510309</v>
      </c>
      <c r="R326">
        <f t="shared" si="49"/>
        <v>149.98752011748715</v>
      </c>
      <c r="S326">
        <f t="shared" si="44"/>
        <v>219.15860661973687</v>
      </c>
      <c r="T326">
        <f t="shared" si="50"/>
        <v>259.91142860451657</v>
      </c>
      <c r="U326">
        <f t="shared" si="51"/>
        <v>25.081019822601721</v>
      </c>
    </row>
    <row r="327" spans="12:21" x14ac:dyDescent="0.55000000000000004">
      <c r="L327">
        <v>321</v>
      </c>
      <c r="M327">
        <f t="shared" ref="M327:M390" si="52">2*PI()*L327/500</f>
        <v>4.0338049672092939</v>
      </c>
      <c r="N327">
        <f t="shared" si="45"/>
        <v>349.73996337729039</v>
      </c>
      <c r="O327">
        <f t="shared" si="46"/>
        <v>537.93292753596359</v>
      </c>
      <c r="P327">
        <f t="shared" si="47"/>
        <v>625</v>
      </c>
      <c r="Q327">
        <f t="shared" si="48"/>
        <v>38.893095671510309</v>
      </c>
      <c r="R327">
        <f t="shared" si="49"/>
        <v>145.44226163437256</v>
      </c>
      <c r="S327">
        <f t="shared" ref="S327:S390" si="53">$C$45^2*$C$27^2*SIN(M327)^2</f>
        <v>223.70386510285147</v>
      </c>
      <c r="T327">
        <f t="shared" si="50"/>
        <v>259.91142860451657</v>
      </c>
      <c r="U327">
        <f t="shared" si="51"/>
        <v>25.081019822601721</v>
      </c>
    </row>
    <row r="328" spans="12:21" x14ac:dyDescent="0.55000000000000004">
      <c r="L328">
        <v>322</v>
      </c>
      <c r="M328">
        <f t="shared" si="52"/>
        <v>4.0463713378236532</v>
      </c>
      <c r="N328">
        <f t="shared" si="45"/>
        <v>338.86957126356009</v>
      </c>
      <c r="O328">
        <f t="shared" si="46"/>
        <v>548.803319649694</v>
      </c>
      <c r="P328">
        <f t="shared" si="47"/>
        <v>625</v>
      </c>
      <c r="Q328">
        <f t="shared" si="48"/>
        <v>38.893095671510309</v>
      </c>
      <c r="R328">
        <f t="shared" si="49"/>
        <v>140.92171900433908</v>
      </c>
      <c r="S328">
        <f t="shared" si="53"/>
        <v>228.22440773288497</v>
      </c>
      <c r="T328">
        <f t="shared" si="50"/>
        <v>259.91142860451657</v>
      </c>
      <c r="U328">
        <f t="shared" si="51"/>
        <v>25.081019822601725</v>
      </c>
    </row>
    <row r="329" spans="12:21" x14ac:dyDescent="0.55000000000000004">
      <c r="L329">
        <v>323</v>
      </c>
      <c r="M329">
        <f t="shared" si="52"/>
        <v>4.0589377084380125</v>
      </c>
      <c r="N329">
        <f t="shared" si="45"/>
        <v>328.06547847736709</v>
      </c>
      <c r="O329">
        <f t="shared" si="46"/>
        <v>559.60741243588689</v>
      </c>
      <c r="P329">
        <f t="shared" si="47"/>
        <v>625</v>
      </c>
      <c r="Q329">
        <f t="shared" si="48"/>
        <v>38.893095671510309</v>
      </c>
      <c r="R329">
        <f t="shared" si="49"/>
        <v>136.42874749900281</v>
      </c>
      <c r="S329">
        <f t="shared" si="53"/>
        <v>232.71737923822124</v>
      </c>
      <c r="T329">
        <f t="shared" si="50"/>
        <v>259.91142860451657</v>
      </c>
      <c r="U329">
        <f t="shared" si="51"/>
        <v>25.081019822601725</v>
      </c>
    </row>
    <row r="330" spans="12:21" x14ac:dyDescent="0.55000000000000004">
      <c r="L330">
        <v>324</v>
      </c>
      <c r="M330">
        <f t="shared" si="52"/>
        <v>4.0715040790523718</v>
      </c>
      <c r="N330">
        <f t="shared" si="45"/>
        <v>317.33450911528354</v>
      </c>
      <c r="O330">
        <f t="shared" si="46"/>
        <v>570.33838179797044</v>
      </c>
      <c r="P330">
        <f t="shared" si="47"/>
        <v>625</v>
      </c>
      <c r="Q330">
        <f t="shared" si="48"/>
        <v>38.893095671510309</v>
      </c>
      <c r="R330">
        <f t="shared" si="49"/>
        <v>131.96618497546612</v>
      </c>
      <c r="S330">
        <f t="shared" si="53"/>
        <v>237.1799417617579</v>
      </c>
      <c r="T330">
        <f t="shared" si="50"/>
        <v>259.91142860451657</v>
      </c>
      <c r="U330">
        <f t="shared" si="51"/>
        <v>25.081019822601721</v>
      </c>
    </row>
    <row r="331" spans="12:21" x14ac:dyDescent="0.55000000000000004">
      <c r="L331">
        <v>325</v>
      </c>
      <c r="M331">
        <f t="shared" si="52"/>
        <v>4.0840704496667311</v>
      </c>
      <c r="N331">
        <f t="shared" si="45"/>
        <v>306.68344108755997</v>
      </c>
      <c r="O331">
        <f t="shared" si="46"/>
        <v>580.98944982569412</v>
      </c>
      <c r="P331">
        <f t="shared" si="47"/>
        <v>625</v>
      </c>
      <c r="Q331">
        <f t="shared" si="48"/>
        <v>38.893095671510309</v>
      </c>
      <c r="R331">
        <f t="shared" si="49"/>
        <v>127.53685008386688</v>
      </c>
      <c r="S331">
        <f t="shared" si="53"/>
        <v>241.6092766533572</v>
      </c>
      <c r="T331">
        <f t="shared" si="50"/>
        <v>259.91142860451657</v>
      </c>
      <c r="U331">
        <f t="shared" si="51"/>
        <v>25.081019822601725</v>
      </c>
    </row>
    <row r="332" spans="12:21" x14ac:dyDescent="0.55000000000000004">
      <c r="L332">
        <v>326</v>
      </c>
      <c r="M332">
        <f t="shared" si="52"/>
        <v>4.0966368202810903</v>
      </c>
      <c r="N332">
        <f t="shared" si="45"/>
        <v>296.11900183705103</v>
      </c>
      <c r="O332">
        <f t="shared" si="46"/>
        <v>591.55388907620306</v>
      </c>
      <c r="P332">
        <f t="shared" si="47"/>
        <v>625</v>
      </c>
      <c r="Q332">
        <f t="shared" si="48"/>
        <v>38.893095671510309</v>
      </c>
      <c r="R332">
        <f t="shared" si="49"/>
        <v>123.14354048705823</v>
      </c>
      <c r="S332">
        <f t="shared" si="53"/>
        <v>246.00258625016585</v>
      </c>
      <c r="T332">
        <f t="shared" si="50"/>
        <v>259.91142860451657</v>
      </c>
      <c r="U332">
        <f t="shared" si="51"/>
        <v>25.081019822601725</v>
      </c>
    </row>
    <row r="333" spans="12:21" x14ac:dyDescent="0.55000000000000004">
      <c r="L333">
        <v>327</v>
      </c>
      <c r="M333">
        <f t="shared" si="52"/>
        <v>4.1092031908954496</v>
      </c>
      <c r="N333">
        <f t="shared" si="45"/>
        <v>285.64786409001931</v>
      </c>
      <c r="O333">
        <f t="shared" si="46"/>
        <v>602.02502682323473</v>
      </c>
      <c r="P333">
        <f t="shared" si="47"/>
        <v>625</v>
      </c>
      <c r="Q333">
        <f t="shared" si="48"/>
        <v>38.893095671510309</v>
      </c>
      <c r="R333">
        <f t="shared" si="49"/>
        <v>118.78903109354511</v>
      </c>
      <c r="S333">
        <f t="shared" si="53"/>
        <v>250.35709564367895</v>
      </c>
      <c r="T333">
        <f t="shared" si="50"/>
        <v>259.91142860451657</v>
      </c>
      <c r="U333">
        <f t="shared" si="51"/>
        <v>25.081019822601725</v>
      </c>
    </row>
    <row r="334" spans="12:21" x14ac:dyDescent="0.55000000000000004">
      <c r="L334">
        <v>328</v>
      </c>
      <c r="M334">
        <f t="shared" si="52"/>
        <v>4.121769561509808</v>
      </c>
      <c r="N334">
        <f t="shared" si="45"/>
        <v>275.2766416414986</v>
      </c>
      <c r="O334">
        <f t="shared" si="46"/>
        <v>612.39624927175544</v>
      </c>
      <c r="P334">
        <f t="shared" si="47"/>
        <v>625</v>
      </c>
      <c r="Q334">
        <f t="shared" si="48"/>
        <v>38.893095671510309</v>
      </c>
      <c r="R334">
        <f t="shared" si="49"/>
        <v>114.47607230479271</v>
      </c>
      <c r="S334">
        <f t="shared" si="53"/>
        <v>254.67005443243133</v>
      </c>
      <c r="T334">
        <f t="shared" si="50"/>
        <v>259.91142860451657</v>
      </c>
      <c r="U334">
        <f t="shared" si="51"/>
        <v>25.081019822601725</v>
      </c>
    </row>
    <row r="335" spans="12:21" x14ac:dyDescent="0.55000000000000004">
      <c r="L335">
        <v>329</v>
      </c>
      <c r="M335">
        <f t="shared" si="52"/>
        <v>4.1343359321241682</v>
      </c>
      <c r="N335">
        <f t="shared" ref="N335:N398" si="54">$C$16^2*$C$3^2*COS(M335)^2</f>
        <v>265.0118851778758</v>
      </c>
      <c r="O335">
        <f t="shared" ref="O335:O398" si="55">$C$16^2*$C$3^2*SIN(M335)^2</f>
        <v>622.66100573537824</v>
      </c>
      <c r="P335">
        <f t="shared" ref="P335:P398" si="56">($C$3^2-$C$15*$C$3*SIN(M335))^2</f>
        <v>625</v>
      </c>
      <c r="Q335">
        <f t="shared" ref="Q335:Q398" si="57">SQRT(N335+O335+P335)</f>
        <v>38.893095671510309</v>
      </c>
      <c r="R335">
        <f t="shared" ref="R335:R398" si="58">$C$45^2*$C$28^2*COS(M335)^2</f>
        <v>110.20738827801249</v>
      </c>
      <c r="S335">
        <f t="shared" si="53"/>
        <v>258.93873845921161</v>
      </c>
      <c r="T335">
        <f t="shared" ref="T335:T398" si="59">($C$27*$C$28-$C$44*$C$27*SIN(M335))^2</f>
        <v>259.91142860451657</v>
      </c>
      <c r="U335">
        <f t="shared" ref="U335:U398" si="60">SQRT(R335+S335+T335)</f>
        <v>25.081019822601725</v>
      </c>
    </row>
    <row r="336" spans="12:21" x14ac:dyDescent="0.55000000000000004">
      <c r="L336">
        <v>330</v>
      </c>
      <c r="M336">
        <f t="shared" si="52"/>
        <v>4.1469023027385266</v>
      </c>
      <c r="N336">
        <f t="shared" si="54"/>
        <v>254.86007813934481</v>
      </c>
      <c r="O336">
        <f t="shared" si="55"/>
        <v>632.8128127739094</v>
      </c>
      <c r="P336">
        <f t="shared" si="56"/>
        <v>625</v>
      </c>
      <c r="Q336">
        <f t="shared" si="57"/>
        <v>38.893095671510309</v>
      </c>
      <c r="R336">
        <f t="shared" si="58"/>
        <v>105.98567520552932</v>
      </c>
      <c r="S336">
        <f t="shared" si="53"/>
        <v>263.16045153169478</v>
      </c>
      <c r="T336">
        <f t="shared" si="59"/>
        <v>259.91142860451657</v>
      </c>
      <c r="U336">
        <f t="shared" si="60"/>
        <v>25.081019822601725</v>
      </c>
    </row>
    <row r="337" spans="12:21" x14ac:dyDescent="0.55000000000000004">
      <c r="L337">
        <v>331</v>
      </c>
      <c r="M337">
        <f t="shared" si="52"/>
        <v>4.1594686733528858</v>
      </c>
      <c r="N337">
        <f t="shared" si="54"/>
        <v>244.82763262481674</v>
      </c>
      <c r="O337">
        <f t="shared" si="55"/>
        <v>642.84525828843721</v>
      </c>
      <c r="P337">
        <f t="shared" si="56"/>
        <v>625</v>
      </c>
      <c r="Q337">
        <f t="shared" si="57"/>
        <v>38.893095671510309</v>
      </c>
      <c r="R337">
        <f t="shared" si="58"/>
        <v>101.81359961180458</v>
      </c>
      <c r="S337">
        <f t="shared" si="53"/>
        <v>267.33252712541946</v>
      </c>
      <c r="T337">
        <f t="shared" si="59"/>
        <v>259.91142860451657</v>
      </c>
      <c r="U337">
        <f t="shared" si="60"/>
        <v>25.081019822601725</v>
      </c>
    </row>
    <row r="338" spans="12:21" x14ac:dyDescent="0.55000000000000004">
      <c r="L338">
        <v>332</v>
      </c>
      <c r="M338">
        <f t="shared" si="52"/>
        <v>4.172035043967246</v>
      </c>
      <c r="N338">
        <f t="shared" si="54"/>
        <v>234.92088534190808</v>
      </c>
      <c r="O338">
        <f t="shared" si="55"/>
        <v>652.75200557134588</v>
      </c>
      <c r="P338">
        <f t="shared" si="56"/>
        <v>625</v>
      </c>
      <c r="Q338">
        <f t="shared" si="57"/>
        <v>38.893095671510309</v>
      </c>
      <c r="R338">
        <f t="shared" si="58"/>
        <v>97.693796669205057</v>
      </c>
      <c r="S338">
        <f t="shared" si="53"/>
        <v>271.45233006801897</v>
      </c>
      <c r="T338">
        <f t="shared" si="59"/>
        <v>259.91142860451657</v>
      </c>
      <c r="U338">
        <f t="shared" si="60"/>
        <v>25.081019822601721</v>
      </c>
    </row>
    <row r="339" spans="12:21" x14ac:dyDescent="0.55000000000000004">
      <c r="L339">
        <v>333</v>
      </c>
      <c r="M339">
        <f t="shared" si="52"/>
        <v>4.1846014145816044</v>
      </c>
      <c r="N339">
        <f t="shared" si="54"/>
        <v>225.14609360454003</v>
      </c>
      <c r="O339">
        <f t="shared" si="55"/>
        <v>662.52679730871398</v>
      </c>
      <c r="P339">
        <f t="shared" si="56"/>
        <v>625</v>
      </c>
      <c r="Q339">
        <f t="shared" si="57"/>
        <v>38.893095671510309</v>
      </c>
      <c r="R339">
        <f t="shared" si="58"/>
        <v>93.628868533571534</v>
      </c>
      <c r="S339">
        <f t="shared" si="53"/>
        <v>275.51725820365249</v>
      </c>
      <c r="T339">
        <f t="shared" si="59"/>
        <v>259.91142860451657</v>
      </c>
      <c r="U339">
        <f t="shared" si="60"/>
        <v>25.081019822601721</v>
      </c>
    </row>
    <row r="340" spans="12:21" x14ac:dyDescent="0.55000000000000004">
      <c r="L340">
        <v>334</v>
      </c>
      <c r="M340">
        <f t="shared" si="52"/>
        <v>4.1971677851959637</v>
      </c>
      <c r="N340">
        <f t="shared" si="54"/>
        <v>215.50943138067888</v>
      </c>
      <c r="O340">
        <f t="shared" si="55"/>
        <v>672.16345953257508</v>
      </c>
      <c r="P340">
        <f t="shared" si="56"/>
        <v>625</v>
      </c>
      <c r="Q340">
        <f t="shared" si="57"/>
        <v>38.893095671510309</v>
      </c>
      <c r="R340">
        <f t="shared" si="58"/>
        <v>89.621382700638847</v>
      </c>
      <c r="S340">
        <f t="shared" si="53"/>
        <v>279.52474403658522</v>
      </c>
      <c r="T340">
        <f t="shared" si="59"/>
        <v>259.91142860451657</v>
      </c>
      <c r="U340">
        <f t="shared" si="60"/>
        <v>25.081019822601725</v>
      </c>
    </row>
    <row r="341" spans="12:21" x14ac:dyDescent="0.55000000000000004">
      <c r="L341">
        <v>335</v>
      </c>
      <c r="M341">
        <f t="shared" si="52"/>
        <v>4.209734155810323</v>
      </c>
      <c r="N341">
        <f t="shared" si="54"/>
        <v>206.01698539273229</v>
      </c>
      <c r="O341">
        <f t="shared" si="55"/>
        <v>681.65590552052174</v>
      </c>
      <c r="P341">
        <f t="shared" si="56"/>
        <v>625</v>
      </c>
      <c r="Q341">
        <f t="shared" si="57"/>
        <v>38.893095671510309</v>
      </c>
      <c r="R341">
        <f t="shared" si="58"/>
        <v>85.673870384353393</v>
      </c>
      <c r="S341">
        <f t="shared" si="53"/>
        <v>283.47225635287066</v>
      </c>
      <c r="T341">
        <f t="shared" si="59"/>
        <v>259.91142860451657</v>
      </c>
      <c r="U341">
        <f t="shared" si="60"/>
        <v>25.081019822601725</v>
      </c>
    </row>
    <row r="342" spans="12:21" x14ac:dyDescent="0.55000000000000004">
      <c r="L342">
        <v>336</v>
      </c>
      <c r="M342">
        <f t="shared" si="52"/>
        <v>4.2223005264246822</v>
      </c>
      <c r="N342">
        <f t="shared" si="54"/>
        <v>196.67475127304175</v>
      </c>
      <c r="O342">
        <f t="shared" si="55"/>
        <v>690.99813964021234</v>
      </c>
      <c r="P342">
        <f t="shared" si="56"/>
        <v>625</v>
      </c>
      <c r="Q342">
        <f t="shared" si="57"/>
        <v>38.893095671510309</v>
      </c>
      <c r="R342">
        <f t="shared" si="58"/>
        <v>81.788824918102776</v>
      </c>
      <c r="S342">
        <f t="shared" si="53"/>
        <v>287.35730181912129</v>
      </c>
      <c r="T342">
        <f t="shared" si="59"/>
        <v>259.91142860451657</v>
      </c>
      <c r="U342">
        <f t="shared" si="60"/>
        <v>25.081019822601725</v>
      </c>
    </row>
    <row r="343" spans="12:21" x14ac:dyDescent="0.55000000000000004">
      <c r="L343">
        <v>337</v>
      </c>
      <c r="M343">
        <f t="shared" si="52"/>
        <v>4.2348668970390406</v>
      </c>
      <c r="N343">
        <f t="shared" si="54"/>
        <v>187.4886297769136</v>
      </c>
      <c r="O343">
        <f t="shared" si="55"/>
        <v>700.18426113634052</v>
      </c>
      <c r="P343">
        <f t="shared" si="56"/>
        <v>625</v>
      </c>
      <c r="Q343">
        <f t="shared" si="57"/>
        <v>38.893095671510309</v>
      </c>
      <c r="R343">
        <f t="shared" si="58"/>
        <v>77.968700179873451</v>
      </c>
      <c r="S343">
        <f t="shared" si="53"/>
        <v>291.1774265573506</v>
      </c>
      <c r="T343">
        <f t="shared" si="59"/>
        <v>259.91142860451657</v>
      </c>
      <c r="U343">
        <f t="shared" si="60"/>
        <v>25.081019822601725</v>
      </c>
    </row>
    <row r="344" spans="12:21" x14ac:dyDescent="0.55000000000000004">
      <c r="L344">
        <v>338</v>
      </c>
      <c r="M344">
        <f t="shared" si="52"/>
        <v>4.2474332676534008</v>
      </c>
      <c r="N344">
        <f t="shared" si="54"/>
        <v>178.46442305557278</v>
      </c>
      <c r="O344">
        <f t="shared" si="55"/>
        <v>709.20846785768117</v>
      </c>
      <c r="P344">
        <f t="shared" si="56"/>
        <v>625</v>
      </c>
      <c r="Q344">
        <f t="shared" si="57"/>
        <v>38.893095671510309</v>
      </c>
      <c r="R344">
        <f t="shared" si="58"/>
        <v>74.215909042327596</v>
      </c>
      <c r="S344">
        <f t="shared" si="53"/>
        <v>294.93021769489638</v>
      </c>
      <c r="T344">
        <f t="shared" si="59"/>
        <v>259.91142860451657</v>
      </c>
      <c r="U344">
        <f t="shared" si="60"/>
        <v>25.081019822601721</v>
      </c>
    </row>
    <row r="345" spans="12:21" x14ac:dyDescent="0.55000000000000004">
      <c r="L345">
        <v>339</v>
      </c>
      <c r="M345">
        <f t="shared" si="52"/>
        <v>4.2599996382677592</v>
      </c>
      <c r="N345">
        <f t="shared" si="54"/>
        <v>169.6078309914065</v>
      </c>
      <c r="O345">
        <f t="shared" si="55"/>
        <v>718.06505992184759</v>
      </c>
      <c r="P345">
        <f t="shared" si="56"/>
        <v>625</v>
      </c>
      <c r="Q345">
        <f t="shared" si="57"/>
        <v>38.893095671510309</v>
      </c>
      <c r="R345">
        <f t="shared" si="58"/>
        <v>70.532821848783769</v>
      </c>
      <c r="S345">
        <f t="shared" si="53"/>
        <v>298.61330488844033</v>
      </c>
      <c r="T345">
        <f t="shared" si="59"/>
        <v>259.91142860451657</v>
      </c>
      <c r="U345">
        <f t="shared" si="60"/>
        <v>25.081019822601725</v>
      </c>
    </row>
    <row r="346" spans="12:21" x14ac:dyDescent="0.55000000000000004">
      <c r="L346">
        <v>340</v>
      </c>
      <c r="M346">
        <f t="shared" si="52"/>
        <v>4.2725660088821185</v>
      </c>
      <c r="N346">
        <f t="shared" si="54"/>
        <v>160.92444759778732</v>
      </c>
      <c r="O346">
        <f t="shared" si="55"/>
        <v>726.7484433154666</v>
      </c>
      <c r="P346">
        <f t="shared" si="56"/>
        <v>625</v>
      </c>
      <c r="Q346">
        <f t="shared" si="57"/>
        <v>38.893095671510309</v>
      </c>
      <c r="R346">
        <f t="shared" si="58"/>
        <v>66.921764916053704</v>
      </c>
      <c r="S346">
        <f t="shared" si="53"/>
        <v>302.22436182117031</v>
      </c>
      <c r="T346">
        <f t="shared" si="59"/>
        <v>259.91142860451657</v>
      </c>
      <c r="U346">
        <f t="shared" si="60"/>
        <v>25.081019822601721</v>
      </c>
    </row>
    <row r="347" spans="12:21" x14ac:dyDescent="0.55000000000000004">
      <c r="L347">
        <v>341</v>
      </c>
      <c r="M347">
        <f t="shared" si="52"/>
        <v>4.2851323794964777</v>
      </c>
      <c r="N347">
        <f t="shared" si="54"/>
        <v>152.4197574857819</v>
      </c>
      <c r="O347">
        <f t="shared" si="55"/>
        <v>735.25313342747211</v>
      </c>
      <c r="P347">
        <f t="shared" si="56"/>
        <v>625</v>
      </c>
      <c r="Q347">
        <f t="shared" si="57"/>
        <v>38.893095671510309</v>
      </c>
      <c r="R347">
        <f t="shared" si="58"/>
        <v>63.385019065093644</v>
      </c>
      <c r="S347">
        <f t="shared" si="53"/>
        <v>305.76110767213038</v>
      </c>
      <c r="T347">
        <f t="shared" si="59"/>
        <v>259.91142860451657</v>
      </c>
      <c r="U347">
        <f t="shared" si="60"/>
        <v>25.081019822601721</v>
      </c>
    </row>
    <row r="348" spans="12:21" x14ac:dyDescent="0.55000000000000004">
      <c r="L348">
        <v>342</v>
      </c>
      <c r="M348">
        <f t="shared" si="52"/>
        <v>4.297698750110837</v>
      </c>
      <c r="N348">
        <f t="shared" si="54"/>
        <v>144.0991323999493</v>
      </c>
      <c r="O348">
        <f t="shared" si="55"/>
        <v>743.57375851330482</v>
      </c>
      <c r="P348">
        <f t="shared" si="56"/>
        <v>625</v>
      </c>
      <c r="Q348">
        <f t="shared" si="57"/>
        <v>38.893095671510309</v>
      </c>
      <c r="R348">
        <f t="shared" si="58"/>
        <v>59.924818180387518</v>
      </c>
      <c r="S348">
        <f t="shared" si="53"/>
        <v>309.22130855683656</v>
      </c>
      <c r="T348">
        <f t="shared" si="59"/>
        <v>259.91142860451657</v>
      </c>
      <c r="U348">
        <f t="shared" si="60"/>
        <v>25.081019822601725</v>
      </c>
    </row>
    <row r="349" spans="12:21" x14ac:dyDescent="0.55000000000000004">
      <c r="L349">
        <v>343</v>
      </c>
      <c r="M349">
        <f t="shared" si="52"/>
        <v>4.3102651207251963</v>
      </c>
      <c r="N349">
        <f t="shared" si="54"/>
        <v>135.96782782543301</v>
      </c>
      <c r="O349">
        <f t="shared" si="55"/>
        <v>751.70506308782115</v>
      </c>
      <c r="P349">
        <f t="shared" si="56"/>
        <v>625</v>
      </c>
      <c r="Q349">
        <f t="shared" si="57"/>
        <v>38.893095671510309</v>
      </c>
      <c r="R349">
        <f t="shared" si="58"/>
        <v>56.543347798977962</v>
      </c>
      <c r="S349">
        <f t="shared" si="53"/>
        <v>312.6027789382461</v>
      </c>
      <c r="T349">
        <f t="shared" si="59"/>
        <v>259.91142860451657</v>
      </c>
      <c r="U349">
        <f t="shared" si="60"/>
        <v>25.081019822601725</v>
      </c>
    </row>
    <row r="350" spans="12:21" x14ac:dyDescent="0.55000000000000004">
      <c r="L350">
        <v>344</v>
      </c>
      <c r="M350">
        <f t="shared" si="52"/>
        <v>4.3228314913395556</v>
      </c>
      <c r="N350">
        <f t="shared" si="54"/>
        <v>128.03097966848384</v>
      </c>
      <c r="O350">
        <f t="shared" si="55"/>
        <v>759.6419112447702</v>
      </c>
      <c r="P350">
        <f t="shared" si="56"/>
        <v>625</v>
      </c>
      <c r="Q350">
        <f t="shared" si="57"/>
        <v>38.893095671510309</v>
      </c>
      <c r="R350">
        <f t="shared" si="58"/>
        <v>53.24274373003432</v>
      </c>
      <c r="S350">
        <f t="shared" si="53"/>
        <v>315.90338300718975</v>
      </c>
      <c r="T350">
        <f t="shared" si="59"/>
        <v>259.91142860451657</v>
      </c>
      <c r="U350">
        <f t="shared" si="60"/>
        <v>25.081019822601725</v>
      </c>
    </row>
    <row r="351" spans="12:21" x14ac:dyDescent="0.55000000000000004">
      <c r="L351">
        <v>345</v>
      </c>
      <c r="M351">
        <f t="shared" si="52"/>
        <v>4.3353978619539149</v>
      </c>
      <c r="N351">
        <f t="shared" si="54"/>
        <v>120.29360101251136</v>
      </c>
      <c r="O351">
        <f t="shared" si="55"/>
        <v>767.37928990074272</v>
      </c>
      <c r="P351">
        <f t="shared" si="56"/>
        <v>625</v>
      </c>
      <c r="Q351">
        <f t="shared" si="57"/>
        <v>38.893095671510309</v>
      </c>
      <c r="R351">
        <f t="shared" si="58"/>
        <v>50.025090705829669</v>
      </c>
      <c r="S351">
        <f t="shared" si="53"/>
        <v>319.1210360313944</v>
      </c>
      <c r="T351">
        <f t="shared" si="59"/>
        <v>259.91142860451657</v>
      </c>
      <c r="U351">
        <f t="shared" si="60"/>
        <v>25.081019822601725</v>
      </c>
    </row>
    <row r="352" spans="12:21" x14ac:dyDescent="0.55000000000000004">
      <c r="L352">
        <v>346</v>
      </c>
      <c r="M352">
        <f t="shared" si="52"/>
        <v>4.3479642325682732</v>
      </c>
      <c r="N352">
        <f t="shared" si="54"/>
        <v>112.76057895171346</v>
      </c>
      <c r="O352">
        <f t="shared" si="55"/>
        <v>774.91231196154047</v>
      </c>
      <c r="P352">
        <f t="shared" si="56"/>
        <v>625</v>
      </c>
      <c r="Q352">
        <f t="shared" si="57"/>
        <v>38.893095671510309</v>
      </c>
      <c r="R352">
        <f t="shared" si="58"/>
        <v>46.892421064979558</v>
      </c>
      <c r="S352">
        <f t="shared" si="53"/>
        <v>322.25370567224445</v>
      </c>
      <c r="T352">
        <f t="shared" si="59"/>
        <v>259.91142860451657</v>
      </c>
      <c r="U352">
        <f t="shared" si="60"/>
        <v>25.081019822601721</v>
      </c>
    </row>
    <row r="353" spans="12:21" x14ac:dyDescent="0.55000000000000004">
      <c r="L353">
        <v>347</v>
      </c>
      <c r="M353">
        <f t="shared" si="52"/>
        <v>4.3605306031826334</v>
      </c>
      <c r="N353">
        <f t="shared" si="54"/>
        <v>105.43667150428055</v>
      </c>
      <c r="O353">
        <f t="shared" si="55"/>
        <v>782.2362194089734</v>
      </c>
      <c r="P353">
        <f t="shared" si="56"/>
        <v>625</v>
      </c>
      <c r="Q353">
        <f t="shared" si="57"/>
        <v>38.893095671510309</v>
      </c>
      <c r="R353">
        <f t="shared" si="58"/>
        <v>43.846713468772286</v>
      </c>
      <c r="S353">
        <f t="shared" si="53"/>
        <v>325.29941326845176</v>
      </c>
      <c r="T353">
        <f t="shared" si="59"/>
        <v>259.91142860451657</v>
      </c>
      <c r="U353">
        <f t="shared" si="60"/>
        <v>25.081019822601725</v>
      </c>
    </row>
    <row r="354" spans="12:21" x14ac:dyDescent="0.55000000000000004">
      <c r="L354">
        <v>348</v>
      </c>
      <c r="M354">
        <f t="shared" si="52"/>
        <v>4.3730969737969918</v>
      </c>
      <c r="N354">
        <f t="shared" si="54"/>
        <v>98.326504607134709</v>
      </c>
      <c r="O354">
        <f t="shared" si="55"/>
        <v>789.34638630611926</v>
      </c>
      <c r="P354">
        <f t="shared" si="56"/>
        <v>625</v>
      </c>
      <c r="Q354">
        <f t="shared" si="57"/>
        <v>38.893095671510309</v>
      </c>
      <c r="R354">
        <f t="shared" si="58"/>
        <v>40.889891651406337</v>
      </c>
      <c r="S354">
        <f t="shared" si="53"/>
        <v>328.25623508581771</v>
      </c>
      <c r="T354">
        <f t="shared" si="59"/>
        <v>259.91142860451657</v>
      </c>
      <c r="U354">
        <f t="shared" si="60"/>
        <v>25.081019822601725</v>
      </c>
    </row>
    <row r="355" spans="12:21" x14ac:dyDescent="0.55000000000000004">
      <c r="L355">
        <v>349</v>
      </c>
      <c r="M355">
        <f t="shared" si="52"/>
        <v>4.3856633444113511</v>
      </c>
      <c r="N355">
        <f t="shared" si="54"/>
        <v>91.434569194081675</v>
      </c>
      <c r="O355">
        <f t="shared" si="55"/>
        <v>796.2383217191724</v>
      </c>
      <c r="P355">
        <f t="shared" si="56"/>
        <v>625</v>
      </c>
      <c r="Q355">
        <f t="shared" si="57"/>
        <v>38.893095671510309</v>
      </c>
      <c r="R355">
        <f t="shared" si="58"/>
        <v>38.023823204915658</v>
      </c>
      <c r="S355">
        <f t="shared" si="53"/>
        <v>331.12230353230842</v>
      </c>
      <c r="T355">
        <f t="shared" si="59"/>
        <v>259.91142860451657</v>
      </c>
      <c r="U355">
        <f t="shared" si="60"/>
        <v>25.081019822601725</v>
      </c>
    </row>
    <row r="356" spans="12:21" x14ac:dyDescent="0.55000000000000004">
      <c r="L356">
        <v>350</v>
      </c>
      <c r="M356">
        <f t="shared" si="52"/>
        <v>4.3982297150257104</v>
      </c>
      <c r="N356">
        <f t="shared" si="54"/>
        <v>84.765218359246418</v>
      </c>
      <c r="O356">
        <f t="shared" si="55"/>
        <v>802.9076725540076</v>
      </c>
      <c r="P356">
        <f t="shared" si="56"/>
        <v>625</v>
      </c>
      <c r="Q356">
        <f t="shared" si="57"/>
        <v>38.893095671510309</v>
      </c>
      <c r="R356">
        <f t="shared" si="58"/>
        <v>35.250318399560847</v>
      </c>
      <c r="S356">
        <f t="shared" si="53"/>
        <v>333.8958083376632</v>
      </c>
      <c r="T356">
        <f t="shared" si="59"/>
        <v>259.91142860451657</v>
      </c>
      <c r="U356">
        <f t="shared" si="60"/>
        <v>25.081019822601725</v>
      </c>
    </row>
    <row r="357" spans="12:21" x14ac:dyDescent="0.55000000000000004">
      <c r="L357">
        <v>351</v>
      </c>
      <c r="M357">
        <f t="shared" si="52"/>
        <v>4.4107960856400696</v>
      </c>
      <c r="N357">
        <f t="shared" si="54"/>
        <v>78.322664607563155</v>
      </c>
      <c r="O357">
        <f t="shared" si="55"/>
        <v>809.35022630569085</v>
      </c>
      <c r="P357">
        <f t="shared" si="56"/>
        <v>625</v>
      </c>
      <c r="Q357">
        <f t="shared" si="57"/>
        <v>38.893095671510309</v>
      </c>
      <c r="R357">
        <f t="shared" si="58"/>
        <v>32.571129040422633</v>
      </c>
      <c r="S357">
        <f t="shared" si="53"/>
        <v>336.5749976968014</v>
      </c>
      <c r="T357">
        <f t="shared" si="59"/>
        <v>259.91142860451657</v>
      </c>
      <c r="U357">
        <f t="shared" si="60"/>
        <v>25.081019822601725</v>
      </c>
    </row>
    <row r="358" spans="12:21" x14ac:dyDescent="0.55000000000000004">
      <c r="L358">
        <v>352</v>
      </c>
      <c r="M358">
        <f t="shared" si="52"/>
        <v>4.423362456254428</v>
      </c>
      <c r="N358">
        <f t="shared" si="54"/>
        <v>72.110977194067672</v>
      </c>
      <c r="O358">
        <f t="shared" si="55"/>
        <v>815.56191371918635</v>
      </c>
      <c r="P358">
        <f t="shared" si="56"/>
        <v>625</v>
      </c>
      <c r="Q358">
        <f t="shared" si="57"/>
        <v>38.893095671510309</v>
      </c>
      <c r="R358">
        <f t="shared" si="58"/>
        <v>29.987947360924544</v>
      </c>
      <c r="S358">
        <f t="shared" si="53"/>
        <v>339.15817937629953</v>
      </c>
      <c r="T358">
        <f t="shared" si="59"/>
        <v>259.91142860451657</v>
      </c>
      <c r="U358">
        <f t="shared" si="60"/>
        <v>25.081019822601725</v>
      </c>
    </row>
    <row r="359" spans="12:21" x14ac:dyDescent="0.55000000000000004">
      <c r="L359">
        <v>353</v>
      </c>
      <c r="M359">
        <f t="shared" si="52"/>
        <v>4.4359288268687882</v>
      </c>
      <c r="N359">
        <f t="shared" si="54"/>
        <v>66.134079553666623</v>
      </c>
      <c r="O359">
        <f t="shared" si="55"/>
        <v>821.53881135958738</v>
      </c>
      <c r="P359">
        <f t="shared" si="56"/>
        <v>625</v>
      </c>
      <c r="Q359">
        <f t="shared" si="57"/>
        <v>38.893095671510309</v>
      </c>
      <c r="R359">
        <f t="shared" si="58"/>
        <v>27.502404953981184</v>
      </c>
      <c r="S359">
        <f t="shared" si="53"/>
        <v>341.64372178324288</v>
      </c>
      <c r="T359">
        <f t="shared" si="59"/>
        <v>259.91142860451657</v>
      </c>
      <c r="U359">
        <f t="shared" si="60"/>
        <v>25.081019822601725</v>
      </c>
    </row>
    <row r="360" spans="12:21" x14ac:dyDescent="0.55000000000000004">
      <c r="L360">
        <v>354</v>
      </c>
      <c r="M360">
        <f t="shared" si="52"/>
        <v>4.4484951974831475</v>
      </c>
      <c r="N360">
        <f t="shared" si="54"/>
        <v>60.395746823016211</v>
      </c>
      <c r="O360">
        <f t="shared" si="55"/>
        <v>827.27714409023793</v>
      </c>
      <c r="P360">
        <f t="shared" si="56"/>
        <v>625</v>
      </c>
      <c r="Q360">
        <f t="shared" si="57"/>
        <v>38.893095671510309</v>
      </c>
      <c r="R360">
        <f t="shared" si="58"/>
        <v>25.116071741450934</v>
      </c>
      <c r="S360">
        <f t="shared" si="53"/>
        <v>344.03005499577318</v>
      </c>
      <c r="T360">
        <f t="shared" si="59"/>
        <v>259.91142860451657</v>
      </c>
      <c r="U360">
        <f t="shared" si="60"/>
        <v>25.081019822601725</v>
      </c>
    </row>
    <row r="361" spans="12:21" x14ac:dyDescent="0.55000000000000004">
      <c r="L361">
        <v>355</v>
      </c>
      <c r="M361">
        <f t="shared" si="52"/>
        <v>4.4610615680975059</v>
      </c>
      <c r="N361">
        <f t="shared" si="54"/>
        <v>54.899603456061079</v>
      </c>
      <c r="O361">
        <f t="shared" si="55"/>
        <v>832.77328745719296</v>
      </c>
      <c r="P361">
        <f t="shared" si="56"/>
        <v>625</v>
      </c>
      <c r="Q361">
        <f t="shared" si="57"/>
        <v>38.893095671510309</v>
      </c>
      <c r="R361">
        <f t="shared" si="58"/>
        <v>22.830454982538061</v>
      </c>
      <c r="S361">
        <f t="shared" si="53"/>
        <v>346.31567175468598</v>
      </c>
      <c r="T361">
        <f t="shared" si="59"/>
        <v>259.91142860451657</v>
      </c>
      <c r="U361">
        <f t="shared" si="60"/>
        <v>25.081019822601725</v>
      </c>
    </row>
    <row r="362" spans="12:21" x14ac:dyDescent="0.55000000000000004">
      <c r="L362">
        <v>356</v>
      </c>
      <c r="M362">
        <f t="shared" si="52"/>
        <v>4.473627938711866</v>
      </c>
      <c r="N362">
        <f t="shared" si="54"/>
        <v>49.649120934751664</v>
      </c>
      <c r="O362">
        <f t="shared" si="55"/>
        <v>838.0237699785024</v>
      </c>
      <c r="P362">
        <f t="shared" si="56"/>
        <v>625</v>
      </c>
      <c r="Q362">
        <f t="shared" si="57"/>
        <v>38.893095671510309</v>
      </c>
      <c r="R362">
        <f t="shared" si="58"/>
        <v>20.646998321775545</v>
      </c>
      <c r="S362">
        <f t="shared" si="53"/>
        <v>348.49912841544852</v>
      </c>
      <c r="T362">
        <f t="shared" si="59"/>
        <v>259.91142860451657</v>
      </c>
      <c r="U362">
        <f t="shared" si="60"/>
        <v>25.081019822601725</v>
      </c>
    </row>
    <row r="363" spans="12:21" x14ac:dyDescent="0.55000000000000004">
      <c r="L363">
        <v>357</v>
      </c>
      <c r="M363">
        <f t="shared" si="52"/>
        <v>4.4861943093262244</v>
      </c>
      <c r="N363">
        <f t="shared" si="54"/>
        <v>44.647615576385604</v>
      </c>
      <c r="O363">
        <f t="shared" si="55"/>
        <v>843.0252753368685</v>
      </c>
      <c r="P363">
        <f t="shared" si="56"/>
        <v>625</v>
      </c>
      <c r="Q363">
        <f t="shared" si="57"/>
        <v>38.893095671510309</v>
      </c>
      <c r="R363">
        <f t="shared" si="58"/>
        <v>18.567080877189834</v>
      </c>
      <c r="S363">
        <f t="shared" si="53"/>
        <v>350.57904586003423</v>
      </c>
      <c r="T363">
        <f t="shared" si="59"/>
        <v>259.91142860451657</v>
      </c>
      <c r="U363">
        <f t="shared" si="60"/>
        <v>25.081019822601725</v>
      </c>
    </row>
    <row r="364" spans="12:21" x14ac:dyDescent="0.55000000000000004">
      <c r="L364">
        <v>358</v>
      </c>
      <c r="M364">
        <f t="shared" si="52"/>
        <v>4.4987606799405837</v>
      </c>
      <c r="N364">
        <f t="shared" si="54"/>
        <v>39.898246438945421</v>
      </c>
      <c r="O364">
        <f t="shared" si="55"/>
        <v>847.77464447430862</v>
      </c>
      <c r="P364">
        <f t="shared" si="56"/>
        <v>625</v>
      </c>
      <c r="Q364">
        <f t="shared" si="57"/>
        <v>38.893095671510309</v>
      </c>
      <c r="R364">
        <f t="shared" si="58"/>
        <v>16.592016369218193</v>
      </c>
      <c r="S364">
        <f t="shared" si="53"/>
        <v>352.55411036800587</v>
      </c>
      <c r="T364">
        <f t="shared" si="59"/>
        <v>259.91142860451657</v>
      </c>
      <c r="U364">
        <f t="shared" si="60"/>
        <v>25.081019822601725</v>
      </c>
    </row>
    <row r="365" spans="12:21" x14ac:dyDescent="0.55000000000000004">
      <c r="L365">
        <v>359</v>
      </c>
      <c r="M365">
        <f t="shared" si="52"/>
        <v>4.511327050554943</v>
      </c>
      <c r="N365">
        <f t="shared" si="54"/>
        <v>35.404013325773818</v>
      </c>
      <c r="O365">
        <f t="shared" si="55"/>
        <v>852.26887758748023</v>
      </c>
      <c r="P365">
        <f t="shared" si="56"/>
        <v>625</v>
      </c>
      <c r="Q365">
        <f t="shared" si="57"/>
        <v>38.893095671510309</v>
      </c>
      <c r="R365">
        <f t="shared" si="58"/>
        <v>14.723052290936343</v>
      </c>
      <c r="S365">
        <f t="shared" si="53"/>
        <v>354.42307444628773</v>
      </c>
      <c r="T365">
        <f t="shared" si="59"/>
        <v>259.91142860451657</v>
      </c>
      <c r="U365">
        <f t="shared" si="60"/>
        <v>25.081019822601725</v>
      </c>
    </row>
    <row r="366" spans="12:21" x14ac:dyDescent="0.55000000000000004">
      <c r="L366">
        <v>360</v>
      </c>
      <c r="M366">
        <f t="shared" si="52"/>
        <v>4.5238934211693023</v>
      </c>
      <c r="N366">
        <f t="shared" si="54"/>
        <v>31.167754890831784</v>
      </c>
      <c r="O366">
        <f t="shared" si="55"/>
        <v>856.50513602242233</v>
      </c>
      <c r="P366">
        <f t="shared" si="56"/>
        <v>625</v>
      </c>
      <c r="Q366">
        <f t="shared" si="57"/>
        <v>38.893095671510309</v>
      </c>
      <c r="R366">
        <f t="shared" si="58"/>
        <v>12.961369120114394</v>
      </c>
      <c r="S366">
        <f t="shared" si="53"/>
        <v>356.18475761710971</v>
      </c>
      <c r="T366">
        <f t="shared" si="59"/>
        <v>259.91142860451657</v>
      </c>
      <c r="U366">
        <f t="shared" si="60"/>
        <v>25.081019822601725</v>
      </c>
    </row>
    <row r="367" spans="12:21" x14ac:dyDescent="0.55000000000000004">
      <c r="L367">
        <v>361</v>
      </c>
      <c r="M367">
        <f t="shared" si="52"/>
        <v>4.5364597917836607</v>
      </c>
      <c r="N367">
        <f t="shared" si="54"/>
        <v>27.192146845744499</v>
      </c>
      <c r="O367">
        <f t="shared" si="55"/>
        <v>860.48074406750948</v>
      </c>
      <c r="P367">
        <f t="shared" si="56"/>
        <v>625</v>
      </c>
      <c r="Q367">
        <f t="shared" si="57"/>
        <v>38.893095671510309</v>
      </c>
      <c r="R367">
        <f t="shared" si="58"/>
        <v>11.308079573602003</v>
      </c>
      <c r="S367">
        <f t="shared" si="53"/>
        <v>357.83804716362204</v>
      </c>
      <c r="T367">
        <f t="shared" si="59"/>
        <v>259.91142860451657</v>
      </c>
      <c r="U367">
        <f t="shared" si="60"/>
        <v>25.081019822601725</v>
      </c>
    </row>
    <row r="368" spans="12:21" x14ac:dyDescent="0.55000000000000004">
      <c r="L368">
        <v>362</v>
      </c>
      <c r="M368">
        <f t="shared" si="52"/>
        <v>4.5490261623980208</v>
      </c>
      <c r="N368">
        <f t="shared" si="54"/>
        <v>23.479700269763235</v>
      </c>
      <c r="O368">
        <f t="shared" si="55"/>
        <v>864.19319064349088</v>
      </c>
      <c r="P368">
        <f t="shared" si="56"/>
        <v>625</v>
      </c>
      <c r="Q368">
        <f t="shared" si="57"/>
        <v>38.893095671510309</v>
      </c>
      <c r="R368">
        <f t="shared" si="58"/>
        <v>9.7642279045120244</v>
      </c>
      <c r="S368">
        <f t="shared" si="53"/>
        <v>359.38189883271207</v>
      </c>
      <c r="T368">
        <f t="shared" si="59"/>
        <v>259.91142860451657</v>
      </c>
      <c r="U368">
        <f t="shared" si="60"/>
        <v>25.081019822601725</v>
      </c>
    </row>
    <row r="369" spans="12:21" x14ac:dyDescent="0.55000000000000004">
      <c r="L369">
        <v>363</v>
      </c>
      <c r="M369">
        <f t="shared" si="52"/>
        <v>4.5615925330123801</v>
      </c>
      <c r="N369">
        <f t="shared" si="54"/>
        <v>20.032760023716545</v>
      </c>
      <c r="O369">
        <f t="shared" si="55"/>
        <v>867.64013088953743</v>
      </c>
      <c r="P369">
        <f t="shared" si="56"/>
        <v>625</v>
      </c>
      <c r="Q369">
        <f t="shared" si="57"/>
        <v>38.893095671510309</v>
      </c>
      <c r="R369">
        <f t="shared" si="58"/>
        <v>8.3307892426489865</v>
      </c>
      <c r="S369">
        <f t="shared" si="53"/>
        <v>360.81533749457503</v>
      </c>
      <c r="T369">
        <f t="shared" si="59"/>
        <v>259.91142860451657</v>
      </c>
      <c r="U369">
        <f t="shared" si="60"/>
        <v>25.081019822601721</v>
      </c>
    </row>
    <row r="370" spans="12:21" x14ac:dyDescent="0.55000000000000004">
      <c r="L370">
        <v>364</v>
      </c>
      <c r="M370">
        <f t="shared" si="52"/>
        <v>4.5741589036267385</v>
      </c>
      <c r="N370">
        <f t="shared" si="54"/>
        <v>16.853503268943431</v>
      </c>
      <c r="O370">
        <f t="shared" si="55"/>
        <v>870.81938764431072</v>
      </c>
      <c r="P370">
        <f t="shared" si="56"/>
        <v>625</v>
      </c>
      <c r="Q370">
        <f t="shared" si="57"/>
        <v>38.893095671510309</v>
      </c>
      <c r="R370">
        <f t="shared" si="58"/>
        <v>7.0086689785951624</v>
      </c>
      <c r="S370">
        <f t="shared" si="53"/>
        <v>362.1374577586289</v>
      </c>
      <c r="T370">
        <f t="shared" si="59"/>
        <v>259.91142860451657</v>
      </c>
      <c r="U370">
        <f t="shared" si="60"/>
        <v>25.081019822601725</v>
      </c>
    </row>
    <row r="371" spans="12:21" x14ac:dyDescent="0.55000000000000004">
      <c r="L371">
        <v>365</v>
      </c>
      <c r="M371">
        <f t="shared" si="52"/>
        <v>4.5867252742410987</v>
      </c>
      <c r="N371">
        <f t="shared" si="54"/>
        <v>13.943938092151841</v>
      </c>
      <c r="O371">
        <f t="shared" si="55"/>
        <v>873.72895282110221</v>
      </c>
      <c r="P371">
        <f t="shared" si="56"/>
        <v>625</v>
      </c>
      <c r="Q371">
        <f t="shared" si="57"/>
        <v>38.893095671510309</v>
      </c>
      <c r="R371">
        <f t="shared" si="58"/>
        <v>5.7987021918465951</v>
      </c>
      <c r="S371">
        <f t="shared" si="53"/>
        <v>363.34742454537746</v>
      </c>
      <c r="T371">
        <f t="shared" si="59"/>
        <v>259.91142860451657</v>
      </c>
      <c r="U371">
        <f t="shared" si="60"/>
        <v>25.081019822601725</v>
      </c>
    </row>
    <row r="372" spans="12:21" x14ac:dyDescent="0.55000000000000004">
      <c r="L372">
        <v>366</v>
      </c>
      <c r="M372">
        <f t="shared" si="52"/>
        <v>4.5992916448554571</v>
      </c>
      <c r="N372">
        <f t="shared" si="54"/>
        <v>11.305902237070121</v>
      </c>
      <c r="O372">
        <f t="shared" si="55"/>
        <v>876.36698867618395</v>
      </c>
      <c r="P372">
        <f t="shared" si="56"/>
        <v>625</v>
      </c>
      <c r="Q372">
        <f t="shared" si="57"/>
        <v>38.893095671510309</v>
      </c>
      <c r="R372">
        <f t="shared" si="58"/>
        <v>4.701653123359832</v>
      </c>
      <c r="S372">
        <f t="shared" si="53"/>
        <v>364.4444736138642</v>
      </c>
      <c r="T372">
        <f t="shared" si="59"/>
        <v>259.91142860451657</v>
      </c>
      <c r="U372">
        <f t="shared" si="60"/>
        <v>25.081019822601725</v>
      </c>
    </row>
    <row r="373" spans="12:21" x14ac:dyDescent="0.55000000000000004">
      <c r="L373">
        <v>367</v>
      </c>
      <c r="M373">
        <f t="shared" si="52"/>
        <v>4.6118580154698163</v>
      </c>
      <c r="N373">
        <f t="shared" si="54"/>
        <v>8.9410619436858489</v>
      </c>
      <c r="O373">
        <f t="shared" si="55"/>
        <v>878.73182896956826</v>
      </c>
      <c r="P373">
        <f t="shared" si="56"/>
        <v>625</v>
      </c>
      <c r="Q373">
        <f t="shared" si="57"/>
        <v>38.893095671510309</v>
      </c>
      <c r="R373">
        <f t="shared" si="58"/>
        <v>3.7182146928397835</v>
      </c>
      <c r="S373">
        <f t="shared" si="53"/>
        <v>365.4279120443843</v>
      </c>
      <c r="T373">
        <f t="shared" si="59"/>
        <v>259.91142860451657</v>
      </c>
      <c r="U373">
        <f t="shared" si="60"/>
        <v>25.081019822601725</v>
      </c>
    </row>
    <row r="374" spans="12:21" x14ac:dyDescent="0.55000000000000004">
      <c r="L374">
        <v>368</v>
      </c>
      <c r="M374">
        <f t="shared" si="52"/>
        <v>4.6244243860841756</v>
      </c>
      <c r="N374">
        <f t="shared" si="54"/>
        <v>6.8509108958150815</v>
      </c>
      <c r="O374">
        <f t="shared" si="55"/>
        <v>880.82198001743893</v>
      </c>
      <c r="P374">
        <f t="shared" si="56"/>
        <v>625</v>
      </c>
      <c r="Q374">
        <f t="shared" si="57"/>
        <v>38.893095671510309</v>
      </c>
      <c r="R374">
        <f t="shared" si="58"/>
        <v>2.849008061077674</v>
      </c>
      <c r="S374">
        <f t="shared" si="53"/>
        <v>366.2971186761464</v>
      </c>
      <c r="T374">
        <f t="shared" si="59"/>
        <v>259.91142860451657</v>
      </c>
      <c r="U374">
        <f t="shared" si="60"/>
        <v>25.081019822601725</v>
      </c>
    </row>
    <row r="375" spans="12:21" x14ac:dyDescent="0.55000000000000004">
      <c r="L375">
        <v>369</v>
      </c>
      <c r="M375">
        <f t="shared" si="52"/>
        <v>4.6369907566985349</v>
      </c>
      <c r="N375">
        <f t="shared" si="54"/>
        <v>5.0367692776587001</v>
      </c>
      <c r="O375">
        <f t="shared" si="55"/>
        <v>882.63612163559526</v>
      </c>
      <c r="P375">
        <f t="shared" si="56"/>
        <v>625</v>
      </c>
      <c r="Q375">
        <f t="shared" si="57"/>
        <v>38.893095671510309</v>
      </c>
      <c r="R375">
        <f t="shared" si="58"/>
        <v>2.0945822376121788</v>
      </c>
      <c r="S375">
        <f t="shared" si="53"/>
        <v>367.05154449961185</v>
      </c>
      <c r="T375">
        <f t="shared" si="59"/>
        <v>259.91142860451657</v>
      </c>
      <c r="U375">
        <f t="shared" si="60"/>
        <v>25.081019822601725</v>
      </c>
    </row>
    <row r="376" spans="12:21" x14ac:dyDescent="0.55000000000000004">
      <c r="L376">
        <v>370</v>
      </c>
      <c r="M376">
        <f t="shared" si="52"/>
        <v>4.6495571273128933</v>
      </c>
      <c r="N376">
        <f t="shared" si="54"/>
        <v>3.4997829399460532</v>
      </c>
      <c r="O376">
        <f t="shared" si="55"/>
        <v>884.17310797330799</v>
      </c>
      <c r="P376">
        <f t="shared" si="56"/>
        <v>625</v>
      </c>
      <c r="Q376">
        <f t="shared" si="57"/>
        <v>38.893095671510309</v>
      </c>
      <c r="R376">
        <f t="shared" si="58"/>
        <v>1.4554137339633497</v>
      </c>
      <c r="S376">
        <f t="shared" si="53"/>
        <v>367.69071300326073</v>
      </c>
      <c r="T376">
        <f t="shared" si="59"/>
        <v>259.91142860451657</v>
      </c>
      <c r="U376">
        <f t="shared" si="60"/>
        <v>25.081019822601725</v>
      </c>
    </row>
    <row r="377" spans="12:21" x14ac:dyDescent="0.55000000000000004">
      <c r="L377">
        <v>371</v>
      </c>
      <c r="M377">
        <f t="shared" si="52"/>
        <v>4.6621234979272534</v>
      </c>
      <c r="N377">
        <f t="shared" si="54"/>
        <v>2.2409226761905843</v>
      </c>
      <c r="O377">
        <f t="shared" si="55"/>
        <v>885.43196823706342</v>
      </c>
      <c r="P377">
        <f t="shared" si="56"/>
        <v>625</v>
      </c>
      <c r="Q377">
        <f t="shared" si="57"/>
        <v>38.893095671510309</v>
      </c>
      <c r="R377">
        <f t="shared" si="58"/>
        <v>0.93190626265752186</v>
      </c>
      <c r="S377">
        <f t="shared" si="53"/>
        <v>368.2142204745665</v>
      </c>
      <c r="T377">
        <f t="shared" si="59"/>
        <v>259.91142860451657</v>
      </c>
      <c r="U377">
        <f t="shared" si="60"/>
        <v>25.081019822601725</v>
      </c>
    </row>
    <row r="378" spans="12:21" x14ac:dyDescent="0.55000000000000004">
      <c r="L378">
        <v>372</v>
      </c>
      <c r="M378">
        <f t="shared" si="52"/>
        <v>4.6746898685416118</v>
      </c>
      <c r="N378">
        <f t="shared" si="54"/>
        <v>1.2609836095168951</v>
      </c>
      <c r="O378">
        <f t="shared" si="55"/>
        <v>886.41190730373717</v>
      </c>
      <c r="P378">
        <f t="shared" si="56"/>
        <v>625</v>
      </c>
      <c r="Q378">
        <f t="shared" si="57"/>
        <v>38.893095671510309</v>
      </c>
      <c r="R378">
        <f t="shared" si="58"/>
        <v>0.52439048223426576</v>
      </c>
      <c r="S378">
        <f t="shared" si="53"/>
        <v>368.6217362549898</v>
      </c>
      <c r="T378">
        <f t="shared" si="59"/>
        <v>259.91142860451657</v>
      </c>
      <c r="U378">
        <f t="shared" si="60"/>
        <v>25.081019822601725</v>
      </c>
    </row>
    <row r="379" spans="12:21" x14ac:dyDescent="0.55000000000000004">
      <c r="L379">
        <v>373</v>
      </c>
      <c r="M379">
        <f t="shared" si="52"/>
        <v>4.6872562391559711</v>
      </c>
      <c r="N379">
        <f t="shared" si="54"/>
        <v>0.56058469044268555</v>
      </c>
      <c r="O379">
        <f t="shared" si="55"/>
        <v>887.1123062228113</v>
      </c>
      <c r="P379">
        <f t="shared" si="56"/>
        <v>625</v>
      </c>
      <c r="Q379">
        <f t="shared" si="57"/>
        <v>38.893095671510309</v>
      </c>
      <c r="R379">
        <f t="shared" si="58"/>
        <v>0.23312378839484654</v>
      </c>
      <c r="S379">
        <f t="shared" si="53"/>
        <v>368.91300294882916</v>
      </c>
      <c r="T379">
        <f t="shared" si="59"/>
        <v>259.91142860451657</v>
      </c>
      <c r="U379">
        <f t="shared" si="60"/>
        <v>25.081019822601721</v>
      </c>
    </row>
    <row r="380" spans="12:21" x14ac:dyDescent="0.55000000000000004">
      <c r="L380">
        <v>374</v>
      </c>
      <c r="M380">
        <f t="shared" si="52"/>
        <v>4.6998226097703313</v>
      </c>
      <c r="N380">
        <f t="shared" si="54"/>
        <v>0.14016830593723195</v>
      </c>
      <c r="O380">
        <f t="shared" si="55"/>
        <v>887.53272260731683</v>
      </c>
      <c r="P380">
        <f t="shared" si="56"/>
        <v>625</v>
      </c>
      <c r="Q380">
        <f t="shared" si="57"/>
        <v>38.893095671510309</v>
      </c>
      <c r="R380">
        <f t="shared" si="58"/>
        <v>5.8290151425953438E-2</v>
      </c>
      <c r="S380">
        <f t="shared" si="53"/>
        <v>369.08783658579807</v>
      </c>
      <c r="T380">
        <f t="shared" si="59"/>
        <v>259.91142860451657</v>
      </c>
      <c r="U380">
        <f t="shared" si="60"/>
        <v>25.081019822601725</v>
      </c>
    </row>
    <row r="381" spans="12:21" x14ac:dyDescent="0.55000000000000004">
      <c r="L381">
        <v>375</v>
      </c>
      <c r="M381">
        <f t="shared" si="52"/>
        <v>4.7123889803846897</v>
      </c>
      <c r="N381">
        <f t="shared" si="54"/>
        <v>2.9978707747834522E-29</v>
      </c>
      <c r="O381">
        <f t="shared" si="55"/>
        <v>887.67289091325404</v>
      </c>
      <c r="P381">
        <f t="shared" si="56"/>
        <v>625</v>
      </c>
      <c r="Q381">
        <f t="shared" si="57"/>
        <v>38.893095671510309</v>
      </c>
      <c r="R381">
        <f t="shared" si="58"/>
        <v>1.2466894013531133E-29</v>
      </c>
      <c r="S381">
        <f t="shared" si="53"/>
        <v>369.14612673722405</v>
      </c>
      <c r="T381">
        <f t="shared" si="59"/>
        <v>259.91142860451657</v>
      </c>
      <c r="U381">
        <f t="shared" si="60"/>
        <v>25.081019822601725</v>
      </c>
    </row>
    <row r="382" spans="12:21" x14ac:dyDescent="0.55000000000000004">
      <c r="L382">
        <v>376</v>
      </c>
      <c r="M382">
        <f t="shared" si="52"/>
        <v>4.724955350999049</v>
      </c>
      <c r="N382">
        <f t="shared" si="54"/>
        <v>0.14016830593724361</v>
      </c>
      <c r="O382">
        <f t="shared" si="55"/>
        <v>887.53272260731683</v>
      </c>
      <c r="P382">
        <f t="shared" si="56"/>
        <v>625</v>
      </c>
      <c r="Q382">
        <f t="shared" si="57"/>
        <v>38.893095671510309</v>
      </c>
      <c r="R382">
        <f t="shared" si="58"/>
        <v>5.8290151425958281E-2</v>
      </c>
      <c r="S382">
        <f t="shared" si="53"/>
        <v>369.08783658579807</v>
      </c>
      <c r="T382">
        <f t="shared" si="59"/>
        <v>259.91142860451657</v>
      </c>
      <c r="U382">
        <f t="shared" si="60"/>
        <v>25.081019822601725</v>
      </c>
    </row>
    <row r="383" spans="12:21" x14ac:dyDescent="0.55000000000000004">
      <c r="L383">
        <v>377</v>
      </c>
      <c r="M383">
        <f t="shared" si="52"/>
        <v>4.7375217216134082</v>
      </c>
      <c r="N383">
        <f t="shared" si="54"/>
        <v>0.56058469044266923</v>
      </c>
      <c r="O383">
        <f t="shared" si="55"/>
        <v>887.1123062228113</v>
      </c>
      <c r="P383">
        <f t="shared" si="56"/>
        <v>625</v>
      </c>
      <c r="Q383">
        <f t="shared" si="57"/>
        <v>38.893095671510309</v>
      </c>
      <c r="R383">
        <f t="shared" si="58"/>
        <v>0.23312378839483974</v>
      </c>
      <c r="S383">
        <f t="shared" si="53"/>
        <v>368.91300294882916</v>
      </c>
      <c r="T383">
        <f t="shared" si="59"/>
        <v>259.91142860451657</v>
      </c>
      <c r="U383">
        <f t="shared" si="60"/>
        <v>25.081019822601721</v>
      </c>
    </row>
    <row r="384" spans="12:21" x14ac:dyDescent="0.55000000000000004">
      <c r="L384">
        <v>378</v>
      </c>
      <c r="M384">
        <f t="shared" si="52"/>
        <v>4.7500880922277675</v>
      </c>
      <c r="N384">
        <f t="shared" si="54"/>
        <v>1.2609836095168707</v>
      </c>
      <c r="O384">
        <f t="shared" si="55"/>
        <v>886.41190730373717</v>
      </c>
      <c r="P384">
        <f t="shared" si="56"/>
        <v>625</v>
      </c>
      <c r="Q384">
        <f t="shared" si="57"/>
        <v>38.893095671510309</v>
      </c>
      <c r="R384">
        <f t="shared" si="58"/>
        <v>0.52439048223425555</v>
      </c>
      <c r="S384">
        <f t="shared" si="53"/>
        <v>368.6217362549898</v>
      </c>
      <c r="T384">
        <f t="shared" si="59"/>
        <v>259.91142860451657</v>
      </c>
      <c r="U384">
        <f t="shared" si="60"/>
        <v>25.081019822601725</v>
      </c>
    </row>
    <row r="385" spans="12:21" x14ac:dyDescent="0.55000000000000004">
      <c r="L385">
        <v>379</v>
      </c>
      <c r="M385">
        <f t="shared" si="52"/>
        <v>4.7626544628421259</v>
      </c>
      <c r="N385">
        <f t="shared" si="54"/>
        <v>2.2409226761905514</v>
      </c>
      <c r="O385">
        <f t="shared" si="55"/>
        <v>885.43196823706353</v>
      </c>
      <c r="P385">
        <f t="shared" si="56"/>
        <v>625</v>
      </c>
      <c r="Q385">
        <f t="shared" si="57"/>
        <v>38.893095671510309</v>
      </c>
      <c r="R385">
        <f t="shared" si="58"/>
        <v>0.93190626265750831</v>
      </c>
      <c r="S385">
        <f t="shared" si="53"/>
        <v>368.21422047456656</v>
      </c>
      <c r="T385">
        <f t="shared" si="59"/>
        <v>259.91142860451657</v>
      </c>
      <c r="U385">
        <f t="shared" si="60"/>
        <v>25.081019822601725</v>
      </c>
    </row>
    <row r="386" spans="12:21" x14ac:dyDescent="0.55000000000000004">
      <c r="L386">
        <v>380</v>
      </c>
      <c r="M386">
        <f t="shared" si="52"/>
        <v>4.7752208334564861</v>
      </c>
      <c r="N386">
        <f t="shared" si="54"/>
        <v>3.4997829399460114</v>
      </c>
      <c r="O386">
        <f t="shared" si="55"/>
        <v>884.17310797330799</v>
      </c>
      <c r="P386">
        <f t="shared" si="56"/>
        <v>625</v>
      </c>
      <c r="Q386">
        <f t="shared" si="57"/>
        <v>38.893095671510309</v>
      </c>
      <c r="R386">
        <f t="shared" si="58"/>
        <v>1.4554137339633324</v>
      </c>
      <c r="S386">
        <f t="shared" si="53"/>
        <v>367.69071300326073</v>
      </c>
      <c r="T386">
        <f t="shared" si="59"/>
        <v>259.91142860451657</v>
      </c>
      <c r="U386">
        <f t="shared" si="60"/>
        <v>25.081019822601725</v>
      </c>
    </row>
    <row r="387" spans="12:21" x14ac:dyDescent="0.55000000000000004">
      <c r="L387">
        <v>381</v>
      </c>
      <c r="M387">
        <f t="shared" si="52"/>
        <v>4.7877872040708445</v>
      </c>
      <c r="N387">
        <f t="shared" si="54"/>
        <v>5.0367692776586521</v>
      </c>
      <c r="O387">
        <f t="shared" si="55"/>
        <v>882.63612163559526</v>
      </c>
      <c r="P387">
        <f t="shared" si="56"/>
        <v>625</v>
      </c>
      <c r="Q387">
        <f t="shared" si="57"/>
        <v>38.893095671510309</v>
      </c>
      <c r="R387">
        <f t="shared" si="58"/>
        <v>2.0945822376121588</v>
      </c>
      <c r="S387">
        <f t="shared" si="53"/>
        <v>367.05154449961185</v>
      </c>
      <c r="T387">
        <f t="shared" si="59"/>
        <v>259.91142860451657</v>
      </c>
      <c r="U387">
        <f t="shared" si="60"/>
        <v>25.081019822601721</v>
      </c>
    </row>
    <row r="388" spans="12:21" x14ac:dyDescent="0.55000000000000004">
      <c r="L388">
        <v>382</v>
      </c>
      <c r="M388">
        <f t="shared" si="52"/>
        <v>4.8003535746852037</v>
      </c>
      <c r="N388">
        <f t="shared" si="54"/>
        <v>6.8509108958150255</v>
      </c>
      <c r="O388">
        <f t="shared" si="55"/>
        <v>880.82198001743893</v>
      </c>
      <c r="P388">
        <f t="shared" si="56"/>
        <v>625</v>
      </c>
      <c r="Q388">
        <f t="shared" si="57"/>
        <v>38.893095671510309</v>
      </c>
      <c r="R388">
        <f t="shared" si="58"/>
        <v>2.8490080610776505</v>
      </c>
      <c r="S388">
        <f t="shared" si="53"/>
        <v>366.2971186761464</v>
      </c>
      <c r="T388">
        <f t="shared" si="59"/>
        <v>259.91142860451657</v>
      </c>
      <c r="U388">
        <f t="shared" si="60"/>
        <v>25.081019822601725</v>
      </c>
    </row>
    <row r="389" spans="12:21" x14ac:dyDescent="0.55000000000000004">
      <c r="L389">
        <v>383</v>
      </c>
      <c r="M389">
        <f t="shared" si="52"/>
        <v>4.812919945299563</v>
      </c>
      <c r="N389">
        <f t="shared" si="54"/>
        <v>8.9410619436857868</v>
      </c>
      <c r="O389">
        <f t="shared" si="55"/>
        <v>878.73182896956826</v>
      </c>
      <c r="P389">
        <f t="shared" si="56"/>
        <v>625</v>
      </c>
      <c r="Q389">
        <f t="shared" si="57"/>
        <v>38.893095671510309</v>
      </c>
      <c r="R389">
        <f t="shared" si="58"/>
        <v>3.7182146928397573</v>
      </c>
      <c r="S389">
        <f t="shared" si="53"/>
        <v>365.4279120443843</v>
      </c>
      <c r="T389">
        <f t="shared" si="59"/>
        <v>259.91142860451657</v>
      </c>
      <c r="U389">
        <f t="shared" si="60"/>
        <v>25.081019822601725</v>
      </c>
    </row>
    <row r="390" spans="12:21" x14ac:dyDescent="0.55000000000000004">
      <c r="L390">
        <v>384</v>
      </c>
      <c r="M390">
        <f t="shared" si="52"/>
        <v>4.8254863159139223</v>
      </c>
      <c r="N390">
        <f t="shared" si="54"/>
        <v>11.305902237070049</v>
      </c>
      <c r="O390">
        <f t="shared" si="55"/>
        <v>876.36698867618395</v>
      </c>
      <c r="P390">
        <f t="shared" si="56"/>
        <v>625</v>
      </c>
      <c r="Q390">
        <f t="shared" si="57"/>
        <v>38.893095671510309</v>
      </c>
      <c r="R390">
        <f t="shared" si="58"/>
        <v>4.7016531233598018</v>
      </c>
      <c r="S390">
        <f t="shared" si="53"/>
        <v>364.4444736138642</v>
      </c>
      <c r="T390">
        <f t="shared" si="59"/>
        <v>259.91142860451657</v>
      </c>
      <c r="U390">
        <f t="shared" si="60"/>
        <v>25.081019822601721</v>
      </c>
    </row>
    <row r="391" spans="12:21" x14ac:dyDescent="0.55000000000000004">
      <c r="L391">
        <v>385</v>
      </c>
      <c r="M391">
        <f t="shared" ref="M391:M454" si="61">2*PI()*L391/500</f>
        <v>4.8380526865282816</v>
      </c>
      <c r="N391">
        <f t="shared" si="54"/>
        <v>13.943938092151951</v>
      </c>
      <c r="O391">
        <f t="shared" si="55"/>
        <v>873.72895282110221</v>
      </c>
      <c r="P391">
        <f t="shared" si="56"/>
        <v>625</v>
      </c>
      <c r="Q391">
        <f t="shared" si="57"/>
        <v>38.893095671510309</v>
      </c>
      <c r="R391">
        <f t="shared" si="58"/>
        <v>5.7987021918466413</v>
      </c>
      <c r="S391">
        <f t="shared" ref="S391:S454" si="62">$C$45^2*$C$27^2*SIN(M391)^2</f>
        <v>363.34742454537746</v>
      </c>
      <c r="T391">
        <f t="shared" si="59"/>
        <v>259.91142860451657</v>
      </c>
      <c r="U391">
        <f t="shared" si="60"/>
        <v>25.081019822601725</v>
      </c>
    </row>
    <row r="392" spans="12:21" x14ac:dyDescent="0.55000000000000004">
      <c r="L392">
        <v>386</v>
      </c>
      <c r="M392">
        <f t="shared" si="61"/>
        <v>4.8506190571426409</v>
      </c>
      <c r="N392">
        <f t="shared" si="54"/>
        <v>16.853503268943342</v>
      </c>
      <c r="O392">
        <f t="shared" si="55"/>
        <v>870.81938764431072</v>
      </c>
      <c r="P392">
        <f t="shared" si="56"/>
        <v>625</v>
      </c>
      <c r="Q392">
        <f t="shared" si="57"/>
        <v>38.893095671510309</v>
      </c>
      <c r="R392">
        <f t="shared" si="58"/>
        <v>7.0086689785951268</v>
      </c>
      <c r="S392">
        <f t="shared" si="62"/>
        <v>362.1374577586289</v>
      </c>
      <c r="T392">
        <f t="shared" si="59"/>
        <v>259.91142860451657</v>
      </c>
      <c r="U392">
        <f t="shared" si="60"/>
        <v>25.081019822601725</v>
      </c>
    </row>
    <row r="393" spans="12:21" x14ac:dyDescent="0.55000000000000004">
      <c r="L393">
        <v>387</v>
      </c>
      <c r="M393">
        <f t="shared" si="61"/>
        <v>4.8631854277570001</v>
      </c>
      <c r="N393">
        <f t="shared" si="54"/>
        <v>20.032760023716683</v>
      </c>
      <c r="O393">
        <f t="shared" si="55"/>
        <v>867.64013088953732</v>
      </c>
      <c r="P393">
        <f t="shared" si="56"/>
        <v>625</v>
      </c>
      <c r="Q393">
        <f t="shared" si="57"/>
        <v>38.893095671510309</v>
      </c>
      <c r="R393">
        <f t="shared" si="58"/>
        <v>8.3307892426490433</v>
      </c>
      <c r="S393">
        <f t="shared" si="62"/>
        <v>360.81533749457503</v>
      </c>
      <c r="T393">
        <f t="shared" si="59"/>
        <v>259.91142860451657</v>
      </c>
      <c r="U393">
        <f t="shared" si="60"/>
        <v>25.081019822601725</v>
      </c>
    </row>
    <row r="394" spans="12:21" x14ac:dyDescent="0.55000000000000004">
      <c r="L394">
        <v>388</v>
      </c>
      <c r="M394">
        <f t="shared" si="61"/>
        <v>4.8757517983713585</v>
      </c>
      <c r="N394">
        <f t="shared" si="54"/>
        <v>23.479700269763132</v>
      </c>
      <c r="O394">
        <f t="shared" si="55"/>
        <v>864.19319064349088</v>
      </c>
      <c r="P394">
        <f t="shared" si="56"/>
        <v>625</v>
      </c>
      <c r="Q394">
        <f t="shared" si="57"/>
        <v>38.893095671510309</v>
      </c>
      <c r="R394">
        <f t="shared" si="58"/>
        <v>9.76422790451198</v>
      </c>
      <c r="S394">
        <f t="shared" si="62"/>
        <v>359.38189883271207</v>
      </c>
      <c r="T394">
        <f t="shared" si="59"/>
        <v>259.91142860451657</v>
      </c>
      <c r="U394">
        <f t="shared" si="60"/>
        <v>25.081019822601725</v>
      </c>
    </row>
    <row r="395" spans="12:21" x14ac:dyDescent="0.55000000000000004">
      <c r="L395">
        <v>389</v>
      </c>
      <c r="M395">
        <f t="shared" si="61"/>
        <v>4.8883181689857187</v>
      </c>
      <c r="N395">
        <f t="shared" si="54"/>
        <v>27.192146845744389</v>
      </c>
      <c r="O395">
        <f t="shared" si="55"/>
        <v>860.4807440675097</v>
      </c>
      <c r="P395">
        <f t="shared" si="56"/>
        <v>625</v>
      </c>
      <c r="Q395">
        <f t="shared" si="57"/>
        <v>38.893095671510309</v>
      </c>
      <c r="R395">
        <f t="shared" si="58"/>
        <v>11.308079573601956</v>
      </c>
      <c r="S395">
        <f t="shared" si="62"/>
        <v>357.83804716362215</v>
      </c>
      <c r="T395">
        <f t="shared" si="59"/>
        <v>259.91142860451657</v>
      </c>
      <c r="U395">
        <f t="shared" si="60"/>
        <v>25.081019822601725</v>
      </c>
    </row>
    <row r="396" spans="12:21" x14ac:dyDescent="0.55000000000000004">
      <c r="L396">
        <v>390</v>
      </c>
      <c r="M396">
        <f t="shared" si="61"/>
        <v>4.9008845396000771</v>
      </c>
      <c r="N396">
        <f t="shared" si="54"/>
        <v>31.16775489083166</v>
      </c>
      <c r="O396">
        <f t="shared" si="55"/>
        <v>856.50513602242233</v>
      </c>
      <c r="P396">
        <f t="shared" si="56"/>
        <v>625</v>
      </c>
      <c r="Q396">
        <f t="shared" si="57"/>
        <v>38.893095671510309</v>
      </c>
      <c r="R396">
        <f t="shared" si="58"/>
        <v>12.961369120114343</v>
      </c>
      <c r="S396">
        <f t="shared" si="62"/>
        <v>356.18475761710971</v>
      </c>
      <c r="T396">
        <f t="shared" si="59"/>
        <v>259.91142860451657</v>
      </c>
      <c r="U396">
        <f t="shared" si="60"/>
        <v>25.081019822601725</v>
      </c>
    </row>
    <row r="397" spans="12:21" x14ac:dyDescent="0.55000000000000004">
      <c r="L397">
        <v>391</v>
      </c>
      <c r="M397">
        <f t="shared" si="61"/>
        <v>4.9134509102144364</v>
      </c>
      <c r="N397">
        <f t="shared" si="54"/>
        <v>35.404013325773697</v>
      </c>
      <c r="O397">
        <f t="shared" si="55"/>
        <v>852.26887758748046</v>
      </c>
      <c r="P397">
        <f t="shared" si="56"/>
        <v>625</v>
      </c>
      <c r="Q397">
        <f t="shared" si="57"/>
        <v>38.893095671510309</v>
      </c>
      <c r="R397">
        <f t="shared" si="58"/>
        <v>14.723052290936291</v>
      </c>
      <c r="S397">
        <f t="shared" si="62"/>
        <v>354.42307444628779</v>
      </c>
      <c r="T397">
        <f t="shared" si="59"/>
        <v>259.91142860451657</v>
      </c>
      <c r="U397">
        <f t="shared" si="60"/>
        <v>25.081019822601725</v>
      </c>
    </row>
    <row r="398" spans="12:21" x14ac:dyDescent="0.55000000000000004">
      <c r="L398">
        <v>392</v>
      </c>
      <c r="M398">
        <f t="shared" si="61"/>
        <v>4.9260172808287956</v>
      </c>
      <c r="N398">
        <f t="shared" si="54"/>
        <v>39.898246438945286</v>
      </c>
      <c r="O398">
        <f t="shared" si="55"/>
        <v>847.77464447430873</v>
      </c>
      <c r="P398">
        <f t="shared" si="56"/>
        <v>625</v>
      </c>
      <c r="Q398">
        <f t="shared" si="57"/>
        <v>38.893095671510309</v>
      </c>
      <c r="R398">
        <f t="shared" si="58"/>
        <v>16.592016369218136</v>
      </c>
      <c r="S398">
        <f t="shared" si="62"/>
        <v>352.55411036800587</v>
      </c>
      <c r="T398">
        <f t="shared" si="59"/>
        <v>259.91142860451657</v>
      </c>
      <c r="U398">
        <f t="shared" si="60"/>
        <v>25.081019822601721</v>
      </c>
    </row>
    <row r="399" spans="12:21" x14ac:dyDescent="0.55000000000000004">
      <c r="L399">
        <v>393</v>
      </c>
      <c r="M399">
        <f t="shared" si="61"/>
        <v>4.9385836514431549</v>
      </c>
      <c r="N399">
        <f t="shared" ref="N399:N462" si="63">$C$16^2*$C$3^2*COS(M399)^2</f>
        <v>44.647615576385462</v>
      </c>
      <c r="O399">
        <f t="shared" ref="O399:O462" si="64">$C$16^2*$C$3^2*SIN(M399)^2</f>
        <v>843.0252753368685</v>
      </c>
      <c r="P399">
        <f t="shared" ref="P399:P462" si="65">($C$3^2-$C$15*$C$3*SIN(M399))^2</f>
        <v>625</v>
      </c>
      <c r="Q399">
        <f t="shared" ref="Q399:Q462" si="66">SQRT(N399+O399+P399)</f>
        <v>38.893095671510309</v>
      </c>
      <c r="R399">
        <f t="shared" ref="R399:R462" si="67">$C$45^2*$C$28^2*COS(M399)^2</f>
        <v>18.567080877189778</v>
      </c>
      <c r="S399">
        <f t="shared" si="62"/>
        <v>350.57904586003423</v>
      </c>
      <c r="T399">
        <f t="shared" ref="T399:T462" si="68">($C$27*$C$28-$C$44*$C$27*SIN(M399))^2</f>
        <v>259.91142860451657</v>
      </c>
      <c r="U399">
        <f t="shared" ref="U399:U462" si="69">SQRT(R399+S399+T399)</f>
        <v>25.081019822601721</v>
      </c>
    </row>
    <row r="400" spans="12:21" x14ac:dyDescent="0.55000000000000004">
      <c r="L400">
        <v>394</v>
      </c>
      <c r="M400">
        <f t="shared" si="61"/>
        <v>4.9511500220575133</v>
      </c>
      <c r="N400">
        <f t="shared" si="63"/>
        <v>49.649120934751508</v>
      </c>
      <c r="O400">
        <f t="shared" si="64"/>
        <v>838.0237699785024</v>
      </c>
      <c r="P400">
        <f t="shared" si="65"/>
        <v>625</v>
      </c>
      <c r="Q400">
        <f t="shared" si="66"/>
        <v>38.893095671510309</v>
      </c>
      <c r="R400">
        <f t="shared" si="67"/>
        <v>20.646998321775477</v>
      </c>
      <c r="S400">
        <f t="shared" si="62"/>
        <v>348.49912841544852</v>
      </c>
      <c r="T400">
        <f t="shared" si="68"/>
        <v>259.91142860451657</v>
      </c>
      <c r="U400">
        <f t="shared" si="69"/>
        <v>25.081019822601721</v>
      </c>
    </row>
    <row r="401" spans="12:21" x14ac:dyDescent="0.55000000000000004">
      <c r="L401">
        <v>395</v>
      </c>
      <c r="M401">
        <f t="shared" si="61"/>
        <v>4.9637163926718735</v>
      </c>
      <c r="N401">
        <f t="shared" si="63"/>
        <v>54.899603456060916</v>
      </c>
      <c r="O401">
        <f t="shared" si="64"/>
        <v>832.77328745719308</v>
      </c>
      <c r="P401">
        <f t="shared" si="65"/>
        <v>625</v>
      </c>
      <c r="Q401">
        <f t="shared" si="66"/>
        <v>38.893095671510309</v>
      </c>
      <c r="R401">
        <f t="shared" si="67"/>
        <v>22.830454982537994</v>
      </c>
      <c r="S401">
        <f t="shared" si="62"/>
        <v>346.31567175468604</v>
      </c>
      <c r="T401">
        <f t="shared" si="68"/>
        <v>259.91142860451657</v>
      </c>
      <c r="U401">
        <f t="shared" si="69"/>
        <v>25.081019822601725</v>
      </c>
    </row>
    <row r="402" spans="12:21" x14ac:dyDescent="0.55000000000000004">
      <c r="L402">
        <v>396</v>
      </c>
      <c r="M402">
        <f t="shared" si="61"/>
        <v>4.9762827632862328</v>
      </c>
      <c r="N402">
        <f t="shared" si="63"/>
        <v>60.395746823016466</v>
      </c>
      <c r="O402">
        <f t="shared" si="64"/>
        <v>827.27714409023758</v>
      </c>
      <c r="P402">
        <f t="shared" si="65"/>
        <v>625</v>
      </c>
      <c r="Q402">
        <f t="shared" si="66"/>
        <v>38.893095671510309</v>
      </c>
      <c r="R402">
        <f t="shared" si="67"/>
        <v>25.116071741451044</v>
      </c>
      <c r="S402">
        <f t="shared" si="62"/>
        <v>344.03005499577301</v>
      </c>
      <c r="T402">
        <f t="shared" si="68"/>
        <v>259.91142860451657</v>
      </c>
      <c r="U402">
        <f t="shared" si="69"/>
        <v>25.081019822601725</v>
      </c>
    </row>
    <row r="403" spans="12:21" x14ac:dyDescent="0.55000000000000004">
      <c r="L403">
        <v>397</v>
      </c>
      <c r="M403">
        <f t="shared" si="61"/>
        <v>4.9888491339005911</v>
      </c>
      <c r="N403">
        <f t="shared" si="63"/>
        <v>66.134079553666439</v>
      </c>
      <c r="O403">
        <f t="shared" si="64"/>
        <v>821.53881135958761</v>
      </c>
      <c r="P403">
        <f t="shared" si="65"/>
        <v>625</v>
      </c>
      <c r="Q403">
        <f t="shared" si="66"/>
        <v>38.893095671510309</v>
      </c>
      <c r="R403">
        <f t="shared" si="67"/>
        <v>27.50240495398111</v>
      </c>
      <c r="S403">
        <f t="shared" si="62"/>
        <v>341.64372178324294</v>
      </c>
      <c r="T403">
        <f t="shared" si="68"/>
        <v>259.91142860451657</v>
      </c>
      <c r="U403">
        <f t="shared" si="69"/>
        <v>25.081019822601725</v>
      </c>
    </row>
    <row r="404" spans="12:21" x14ac:dyDescent="0.55000000000000004">
      <c r="L404">
        <v>398</v>
      </c>
      <c r="M404">
        <f t="shared" si="61"/>
        <v>5.0014155045149513</v>
      </c>
      <c r="N404">
        <f t="shared" si="63"/>
        <v>72.110977194067502</v>
      </c>
      <c r="O404">
        <f t="shared" si="64"/>
        <v>815.56191371918646</v>
      </c>
      <c r="P404">
        <f t="shared" si="65"/>
        <v>625</v>
      </c>
      <c r="Q404">
        <f t="shared" si="66"/>
        <v>38.893095671510309</v>
      </c>
      <c r="R404">
        <f t="shared" si="67"/>
        <v>29.987947360924476</v>
      </c>
      <c r="S404">
        <f t="shared" si="62"/>
        <v>339.15817937629953</v>
      </c>
      <c r="T404">
        <f t="shared" si="68"/>
        <v>259.91142860451657</v>
      </c>
      <c r="U404">
        <f t="shared" si="69"/>
        <v>25.081019822601721</v>
      </c>
    </row>
    <row r="405" spans="12:21" x14ac:dyDescent="0.55000000000000004">
      <c r="L405">
        <v>399</v>
      </c>
      <c r="M405">
        <f t="shared" si="61"/>
        <v>5.0139818751293097</v>
      </c>
      <c r="N405">
        <f t="shared" si="63"/>
        <v>78.32266460756297</v>
      </c>
      <c r="O405">
        <f t="shared" si="64"/>
        <v>809.35022630569108</v>
      </c>
      <c r="P405">
        <f t="shared" si="65"/>
        <v>625</v>
      </c>
      <c r="Q405">
        <f t="shared" si="66"/>
        <v>38.893095671510309</v>
      </c>
      <c r="R405">
        <f t="shared" si="67"/>
        <v>32.571129040422562</v>
      </c>
      <c r="S405">
        <f t="shared" si="62"/>
        <v>336.57499769680152</v>
      </c>
      <c r="T405">
        <f t="shared" si="68"/>
        <v>259.91142860451657</v>
      </c>
      <c r="U405">
        <f t="shared" si="69"/>
        <v>25.081019822601725</v>
      </c>
    </row>
    <row r="406" spans="12:21" x14ac:dyDescent="0.55000000000000004">
      <c r="L406">
        <v>400</v>
      </c>
      <c r="M406">
        <f t="shared" si="61"/>
        <v>5.026548245743669</v>
      </c>
      <c r="N406">
        <f t="shared" si="63"/>
        <v>84.765218359246234</v>
      </c>
      <c r="O406">
        <f t="shared" si="64"/>
        <v>802.90767255400783</v>
      </c>
      <c r="P406">
        <f t="shared" si="65"/>
        <v>625</v>
      </c>
      <c r="Q406">
        <f t="shared" si="66"/>
        <v>38.893095671510309</v>
      </c>
      <c r="R406">
        <f t="shared" si="67"/>
        <v>35.250318399560769</v>
      </c>
      <c r="S406">
        <f t="shared" si="62"/>
        <v>333.89580833766325</v>
      </c>
      <c r="T406">
        <f t="shared" si="68"/>
        <v>259.91142860451657</v>
      </c>
      <c r="U406">
        <f t="shared" si="69"/>
        <v>25.081019822601721</v>
      </c>
    </row>
    <row r="407" spans="12:21" x14ac:dyDescent="0.55000000000000004">
      <c r="L407">
        <v>401</v>
      </c>
      <c r="M407">
        <f t="shared" si="61"/>
        <v>5.0391146163580283</v>
      </c>
      <c r="N407">
        <f t="shared" si="63"/>
        <v>91.434569194081476</v>
      </c>
      <c r="O407">
        <f t="shared" si="64"/>
        <v>796.23832171917263</v>
      </c>
      <c r="P407">
        <f t="shared" si="65"/>
        <v>625</v>
      </c>
      <c r="Q407">
        <f t="shared" si="66"/>
        <v>38.893095671510309</v>
      </c>
      <c r="R407">
        <f t="shared" si="67"/>
        <v>38.02382320491558</v>
      </c>
      <c r="S407">
        <f t="shared" si="62"/>
        <v>331.12230353230854</v>
      </c>
      <c r="T407">
        <f t="shared" si="68"/>
        <v>259.91142860451657</v>
      </c>
      <c r="U407">
        <f t="shared" si="69"/>
        <v>25.081019822601725</v>
      </c>
    </row>
    <row r="408" spans="12:21" x14ac:dyDescent="0.55000000000000004">
      <c r="L408">
        <v>402</v>
      </c>
      <c r="M408">
        <f t="shared" si="61"/>
        <v>5.0516809869723875</v>
      </c>
      <c r="N408">
        <f t="shared" si="63"/>
        <v>98.326504607134524</v>
      </c>
      <c r="O408">
        <f t="shared" si="64"/>
        <v>789.34638630611937</v>
      </c>
      <c r="P408">
        <f t="shared" si="65"/>
        <v>625</v>
      </c>
      <c r="Q408">
        <f t="shared" si="66"/>
        <v>38.893095671510309</v>
      </c>
      <c r="R408">
        <f t="shared" si="67"/>
        <v>40.889891651406259</v>
      </c>
      <c r="S408">
        <f t="shared" si="62"/>
        <v>328.25623508581776</v>
      </c>
      <c r="T408">
        <f t="shared" si="68"/>
        <v>259.91142860451657</v>
      </c>
      <c r="U408">
        <f t="shared" si="69"/>
        <v>25.081019822601721</v>
      </c>
    </row>
    <row r="409" spans="12:21" x14ac:dyDescent="0.55000000000000004">
      <c r="L409">
        <v>403</v>
      </c>
      <c r="M409">
        <f t="shared" si="61"/>
        <v>5.0642473575867459</v>
      </c>
      <c r="N409">
        <f t="shared" si="63"/>
        <v>105.43667150428035</v>
      </c>
      <c r="O409">
        <f t="shared" si="64"/>
        <v>782.23621940897374</v>
      </c>
      <c r="P409">
        <f t="shared" si="65"/>
        <v>625</v>
      </c>
      <c r="Q409">
        <f t="shared" si="66"/>
        <v>38.893095671510309</v>
      </c>
      <c r="R409">
        <f t="shared" si="67"/>
        <v>43.846713468772201</v>
      </c>
      <c r="S409">
        <f t="shared" si="62"/>
        <v>325.29941326845187</v>
      </c>
      <c r="T409">
        <f t="shared" si="68"/>
        <v>259.91142860451657</v>
      </c>
      <c r="U409">
        <f t="shared" si="69"/>
        <v>25.081019822601725</v>
      </c>
    </row>
    <row r="410" spans="12:21" x14ac:dyDescent="0.55000000000000004">
      <c r="L410">
        <v>404</v>
      </c>
      <c r="M410">
        <f t="shared" si="61"/>
        <v>5.0768137282011061</v>
      </c>
      <c r="N410">
        <f t="shared" si="63"/>
        <v>112.76057895171326</v>
      </c>
      <c r="O410">
        <f t="shared" si="64"/>
        <v>774.91231196154081</v>
      </c>
      <c r="P410">
        <f t="shared" si="65"/>
        <v>625</v>
      </c>
      <c r="Q410">
        <f t="shared" si="66"/>
        <v>38.893095671510309</v>
      </c>
      <c r="R410">
        <f t="shared" si="67"/>
        <v>46.892421064979473</v>
      </c>
      <c r="S410">
        <f t="shared" si="62"/>
        <v>322.25370567224462</v>
      </c>
      <c r="T410">
        <f t="shared" si="68"/>
        <v>259.91142860451657</v>
      </c>
      <c r="U410">
        <f t="shared" si="69"/>
        <v>25.081019822601725</v>
      </c>
    </row>
    <row r="411" spans="12:21" x14ac:dyDescent="0.55000000000000004">
      <c r="L411">
        <v>405</v>
      </c>
      <c r="M411">
        <f t="shared" si="61"/>
        <v>5.0893800988154645</v>
      </c>
      <c r="N411">
        <f t="shared" si="63"/>
        <v>120.29360101251108</v>
      </c>
      <c r="O411">
        <f t="shared" si="64"/>
        <v>767.37928990074295</v>
      </c>
      <c r="P411">
        <f t="shared" si="65"/>
        <v>625</v>
      </c>
      <c r="Q411">
        <f t="shared" si="66"/>
        <v>38.893095671510309</v>
      </c>
      <c r="R411">
        <f t="shared" si="67"/>
        <v>50.025090705829555</v>
      </c>
      <c r="S411">
        <f t="shared" si="62"/>
        <v>319.12103603139445</v>
      </c>
      <c r="T411">
        <f t="shared" si="68"/>
        <v>259.91142860451657</v>
      </c>
      <c r="U411">
        <f t="shared" si="69"/>
        <v>25.081019822601721</v>
      </c>
    </row>
    <row r="412" spans="12:21" x14ac:dyDescent="0.55000000000000004">
      <c r="L412">
        <v>406</v>
      </c>
      <c r="M412">
        <f t="shared" si="61"/>
        <v>5.1019464694298238</v>
      </c>
      <c r="N412">
        <f t="shared" si="63"/>
        <v>128.03097966848358</v>
      </c>
      <c r="O412">
        <f t="shared" si="64"/>
        <v>759.64191124477054</v>
      </c>
      <c r="P412">
        <f t="shared" si="65"/>
        <v>625</v>
      </c>
      <c r="Q412">
        <f t="shared" si="66"/>
        <v>38.893095671510309</v>
      </c>
      <c r="R412">
        <f t="shared" si="67"/>
        <v>53.242743730034206</v>
      </c>
      <c r="S412">
        <f t="shared" si="62"/>
        <v>315.90338300718986</v>
      </c>
      <c r="T412">
        <f t="shared" si="68"/>
        <v>259.91142860451657</v>
      </c>
      <c r="U412">
        <f t="shared" si="69"/>
        <v>25.081019822601725</v>
      </c>
    </row>
    <row r="413" spans="12:21" x14ac:dyDescent="0.55000000000000004">
      <c r="L413">
        <v>407</v>
      </c>
      <c r="M413">
        <f t="shared" si="61"/>
        <v>5.1145128400441839</v>
      </c>
      <c r="N413">
        <f t="shared" si="63"/>
        <v>135.96782782543335</v>
      </c>
      <c r="O413">
        <f t="shared" si="64"/>
        <v>751.70506308782069</v>
      </c>
      <c r="P413">
        <f t="shared" si="65"/>
        <v>625</v>
      </c>
      <c r="Q413">
        <f t="shared" si="66"/>
        <v>38.893095671510309</v>
      </c>
      <c r="R413">
        <f t="shared" si="67"/>
        <v>56.543347798978111</v>
      </c>
      <c r="S413">
        <f t="shared" si="62"/>
        <v>312.60277893824599</v>
      </c>
      <c r="T413">
        <f t="shared" si="68"/>
        <v>259.91142860451657</v>
      </c>
      <c r="U413">
        <f t="shared" si="69"/>
        <v>25.081019822601725</v>
      </c>
    </row>
    <row r="414" spans="12:21" x14ac:dyDescent="0.55000000000000004">
      <c r="L414">
        <v>408</v>
      </c>
      <c r="M414">
        <f t="shared" si="61"/>
        <v>5.1270792106585423</v>
      </c>
      <c r="N414">
        <f t="shared" si="63"/>
        <v>144.09913239994904</v>
      </c>
      <c r="O414">
        <f t="shared" si="64"/>
        <v>743.57375851330505</v>
      </c>
      <c r="P414">
        <f t="shared" si="65"/>
        <v>625</v>
      </c>
      <c r="Q414">
        <f t="shared" si="66"/>
        <v>38.893095671510309</v>
      </c>
      <c r="R414">
        <f t="shared" si="67"/>
        <v>59.924818180387419</v>
      </c>
      <c r="S414">
        <f t="shared" si="62"/>
        <v>309.22130855683662</v>
      </c>
      <c r="T414">
        <f t="shared" si="68"/>
        <v>259.91142860451657</v>
      </c>
      <c r="U414">
        <f t="shared" si="69"/>
        <v>25.081019822601725</v>
      </c>
    </row>
    <row r="415" spans="12:21" x14ac:dyDescent="0.55000000000000004">
      <c r="L415">
        <v>409</v>
      </c>
      <c r="M415">
        <f t="shared" si="61"/>
        <v>5.1396455812729016</v>
      </c>
      <c r="N415">
        <f t="shared" si="63"/>
        <v>152.41975748578164</v>
      </c>
      <c r="O415">
        <f t="shared" si="64"/>
        <v>735.25313342747245</v>
      </c>
      <c r="P415">
        <f t="shared" si="65"/>
        <v>625</v>
      </c>
      <c r="Q415">
        <f t="shared" si="66"/>
        <v>38.893095671510309</v>
      </c>
      <c r="R415">
        <f t="shared" si="67"/>
        <v>63.385019065093545</v>
      </c>
      <c r="S415">
        <f t="shared" si="62"/>
        <v>305.76110767213055</v>
      </c>
      <c r="T415">
        <f t="shared" si="68"/>
        <v>259.91142860451657</v>
      </c>
      <c r="U415">
        <f t="shared" si="69"/>
        <v>25.081019822601725</v>
      </c>
    </row>
    <row r="416" spans="12:21" x14ac:dyDescent="0.55000000000000004">
      <c r="L416">
        <v>410</v>
      </c>
      <c r="M416">
        <f t="shared" si="61"/>
        <v>5.1522119518872609</v>
      </c>
      <c r="N416">
        <f t="shared" si="63"/>
        <v>160.92444759778706</v>
      </c>
      <c r="O416">
        <f t="shared" si="64"/>
        <v>726.74844331546706</v>
      </c>
      <c r="P416">
        <f t="shared" si="65"/>
        <v>625</v>
      </c>
      <c r="Q416">
        <f t="shared" si="66"/>
        <v>38.893095671510309</v>
      </c>
      <c r="R416">
        <f t="shared" si="67"/>
        <v>66.921764916053604</v>
      </c>
      <c r="S416">
        <f t="shared" si="62"/>
        <v>302.22436182117048</v>
      </c>
      <c r="T416">
        <f t="shared" si="68"/>
        <v>259.91142860451657</v>
      </c>
      <c r="U416">
        <f t="shared" si="69"/>
        <v>25.081019822601725</v>
      </c>
    </row>
    <row r="417" spans="12:21" x14ac:dyDescent="0.55000000000000004">
      <c r="L417">
        <v>411</v>
      </c>
      <c r="M417">
        <f t="shared" si="61"/>
        <v>5.1647783225016202</v>
      </c>
      <c r="N417">
        <f t="shared" si="63"/>
        <v>169.60783099140622</v>
      </c>
      <c r="O417">
        <f t="shared" si="64"/>
        <v>718.06505992184771</v>
      </c>
      <c r="P417">
        <f t="shared" si="65"/>
        <v>625</v>
      </c>
      <c r="Q417">
        <f t="shared" si="66"/>
        <v>38.893095671510309</v>
      </c>
      <c r="R417">
        <f t="shared" si="67"/>
        <v>70.532821848783655</v>
      </c>
      <c r="S417">
        <f t="shared" si="62"/>
        <v>298.61330488844033</v>
      </c>
      <c r="T417">
        <f t="shared" si="68"/>
        <v>259.91142860451657</v>
      </c>
      <c r="U417">
        <f t="shared" si="69"/>
        <v>25.081019822601721</v>
      </c>
    </row>
    <row r="418" spans="12:21" x14ac:dyDescent="0.55000000000000004">
      <c r="L418">
        <v>412</v>
      </c>
      <c r="M418">
        <f t="shared" si="61"/>
        <v>5.1773446931159786</v>
      </c>
      <c r="N418">
        <f t="shared" si="63"/>
        <v>178.46442305557255</v>
      </c>
      <c r="O418">
        <f t="shared" si="64"/>
        <v>709.20846785768151</v>
      </c>
      <c r="P418">
        <f t="shared" si="65"/>
        <v>625</v>
      </c>
      <c r="Q418">
        <f t="shared" si="66"/>
        <v>38.893095671510309</v>
      </c>
      <c r="R418">
        <f t="shared" si="67"/>
        <v>74.215909042327496</v>
      </c>
      <c r="S418">
        <f t="shared" si="62"/>
        <v>294.93021769489656</v>
      </c>
      <c r="T418">
        <f t="shared" si="68"/>
        <v>259.91142860451657</v>
      </c>
      <c r="U418">
        <f t="shared" si="69"/>
        <v>25.081019822601725</v>
      </c>
    </row>
    <row r="419" spans="12:21" x14ac:dyDescent="0.55000000000000004">
      <c r="L419">
        <v>413</v>
      </c>
      <c r="M419">
        <f t="shared" si="61"/>
        <v>5.1899110637303387</v>
      </c>
      <c r="N419">
        <f t="shared" si="63"/>
        <v>187.48862977691331</v>
      </c>
      <c r="O419">
        <f t="shared" si="64"/>
        <v>700.18426113634064</v>
      </c>
      <c r="P419">
        <f t="shared" si="65"/>
        <v>625</v>
      </c>
      <c r="Q419">
        <f t="shared" si="66"/>
        <v>38.893095671510309</v>
      </c>
      <c r="R419">
        <f t="shared" si="67"/>
        <v>77.968700179873338</v>
      </c>
      <c r="S419">
        <f t="shared" si="62"/>
        <v>291.17742655735071</v>
      </c>
      <c r="T419">
        <f t="shared" si="68"/>
        <v>259.91142860451657</v>
      </c>
      <c r="U419">
        <f t="shared" si="69"/>
        <v>25.081019822601725</v>
      </c>
    </row>
    <row r="420" spans="12:21" x14ac:dyDescent="0.55000000000000004">
      <c r="L420">
        <v>414</v>
      </c>
      <c r="M420">
        <f t="shared" si="61"/>
        <v>5.2024774343446971</v>
      </c>
      <c r="N420">
        <f t="shared" si="63"/>
        <v>196.67475127304144</v>
      </c>
      <c r="O420">
        <f t="shared" si="64"/>
        <v>690.99813964021257</v>
      </c>
      <c r="P420">
        <f t="shared" si="65"/>
        <v>625</v>
      </c>
      <c r="Q420">
        <f t="shared" si="66"/>
        <v>38.893095671510309</v>
      </c>
      <c r="R420">
        <f t="shared" si="67"/>
        <v>81.788824918102662</v>
      </c>
      <c r="S420">
        <f t="shared" si="62"/>
        <v>287.35730181912135</v>
      </c>
      <c r="T420">
        <f t="shared" si="68"/>
        <v>259.91142860451657</v>
      </c>
      <c r="U420">
        <f t="shared" si="69"/>
        <v>25.081019822601721</v>
      </c>
    </row>
    <row r="421" spans="12:21" x14ac:dyDescent="0.55000000000000004">
      <c r="L421">
        <v>415</v>
      </c>
      <c r="M421">
        <f t="shared" si="61"/>
        <v>5.2150438049590564</v>
      </c>
      <c r="N421">
        <f t="shared" si="63"/>
        <v>206.01698539273204</v>
      </c>
      <c r="O421">
        <f t="shared" si="64"/>
        <v>681.65590552052208</v>
      </c>
      <c r="P421">
        <f t="shared" si="65"/>
        <v>625</v>
      </c>
      <c r="Q421">
        <f t="shared" si="66"/>
        <v>38.893095671510309</v>
      </c>
      <c r="R421">
        <f t="shared" si="67"/>
        <v>85.673870384353279</v>
      </c>
      <c r="S421">
        <f t="shared" si="62"/>
        <v>283.47225635287083</v>
      </c>
      <c r="T421">
        <f t="shared" si="68"/>
        <v>259.91142860451657</v>
      </c>
      <c r="U421">
        <f t="shared" si="69"/>
        <v>25.081019822601725</v>
      </c>
    </row>
    <row r="422" spans="12:21" x14ac:dyDescent="0.55000000000000004">
      <c r="L422">
        <v>416</v>
      </c>
      <c r="M422">
        <f t="shared" si="61"/>
        <v>5.2276101755734166</v>
      </c>
      <c r="N422">
        <f t="shared" si="63"/>
        <v>215.50943138067927</v>
      </c>
      <c r="O422">
        <f t="shared" si="64"/>
        <v>672.16345953257473</v>
      </c>
      <c r="P422">
        <f t="shared" si="65"/>
        <v>625</v>
      </c>
      <c r="Q422">
        <f t="shared" si="66"/>
        <v>38.893095671510309</v>
      </c>
      <c r="R422">
        <f t="shared" si="67"/>
        <v>89.621382700639003</v>
      </c>
      <c r="S422">
        <f t="shared" si="62"/>
        <v>279.52474403658505</v>
      </c>
      <c r="T422">
        <f t="shared" si="68"/>
        <v>259.91142860451657</v>
      </c>
      <c r="U422">
        <f t="shared" si="69"/>
        <v>25.081019822601725</v>
      </c>
    </row>
    <row r="423" spans="12:21" x14ac:dyDescent="0.55000000000000004">
      <c r="L423">
        <v>417</v>
      </c>
      <c r="M423">
        <f t="shared" si="61"/>
        <v>5.240176546187775</v>
      </c>
      <c r="N423">
        <f t="shared" si="63"/>
        <v>225.14609360453974</v>
      </c>
      <c r="O423">
        <f t="shared" si="64"/>
        <v>662.52679730871421</v>
      </c>
      <c r="P423">
        <f t="shared" si="65"/>
        <v>625</v>
      </c>
      <c r="Q423">
        <f t="shared" si="66"/>
        <v>38.893095671510309</v>
      </c>
      <c r="R423">
        <f t="shared" si="67"/>
        <v>93.628868533571406</v>
      </c>
      <c r="S423">
        <f t="shared" si="62"/>
        <v>275.5172582036526</v>
      </c>
      <c r="T423">
        <f t="shared" si="68"/>
        <v>259.91142860451657</v>
      </c>
      <c r="U423">
        <f t="shared" si="69"/>
        <v>25.081019822601721</v>
      </c>
    </row>
    <row r="424" spans="12:21" x14ac:dyDescent="0.55000000000000004">
      <c r="L424">
        <v>418</v>
      </c>
      <c r="M424">
        <f t="shared" si="61"/>
        <v>5.2527429168021342</v>
      </c>
      <c r="N424">
        <f t="shared" si="63"/>
        <v>234.92088534190847</v>
      </c>
      <c r="O424">
        <f t="shared" si="64"/>
        <v>652.75200557134565</v>
      </c>
      <c r="P424">
        <f t="shared" si="65"/>
        <v>625</v>
      </c>
      <c r="Q424">
        <f t="shared" si="66"/>
        <v>38.893095671510309</v>
      </c>
      <c r="R424">
        <f t="shared" si="67"/>
        <v>97.693796669205213</v>
      </c>
      <c r="S424">
        <f t="shared" si="62"/>
        <v>271.45233006801885</v>
      </c>
      <c r="T424">
        <f t="shared" si="68"/>
        <v>259.91142860451657</v>
      </c>
      <c r="U424">
        <f t="shared" si="69"/>
        <v>25.081019822601725</v>
      </c>
    </row>
    <row r="425" spans="12:21" x14ac:dyDescent="0.55000000000000004">
      <c r="L425">
        <v>419</v>
      </c>
      <c r="M425">
        <f t="shared" si="61"/>
        <v>5.2653092874164935</v>
      </c>
      <c r="N425">
        <f t="shared" si="63"/>
        <v>244.8276326248164</v>
      </c>
      <c r="O425">
        <f t="shared" si="64"/>
        <v>642.84525828843766</v>
      </c>
      <c r="P425">
        <f t="shared" si="65"/>
        <v>625</v>
      </c>
      <c r="Q425">
        <f t="shared" si="66"/>
        <v>38.893095671510309</v>
      </c>
      <c r="R425">
        <f t="shared" si="67"/>
        <v>101.81359961180443</v>
      </c>
      <c r="S425">
        <f t="shared" si="62"/>
        <v>267.33252712541963</v>
      </c>
      <c r="T425">
        <f t="shared" si="68"/>
        <v>259.91142860451657</v>
      </c>
      <c r="U425">
        <f t="shared" si="69"/>
        <v>25.081019822601725</v>
      </c>
    </row>
    <row r="426" spans="12:21" x14ac:dyDescent="0.55000000000000004">
      <c r="L426">
        <v>420</v>
      </c>
      <c r="M426">
        <f t="shared" si="61"/>
        <v>5.2778756580308528</v>
      </c>
      <c r="N426">
        <f t="shared" si="63"/>
        <v>254.86007813934449</v>
      </c>
      <c r="O426">
        <f t="shared" si="64"/>
        <v>632.81281277390951</v>
      </c>
      <c r="P426">
        <f t="shared" si="65"/>
        <v>625</v>
      </c>
      <c r="Q426">
        <f t="shared" si="66"/>
        <v>38.893095671510309</v>
      </c>
      <c r="R426">
        <f t="shared" si="67"/>
        <v>105.98567520552919</v>
      </c>
      <c r="S426">
        <f t="shared" si="62"/>
        <v>263.16045153169483</v>
      </c>
      <c r="T426">
        <f t="shared" si="68"/>
        <v>259.91142860451657</v>
      </c>
      <c r="U426">
        <f t="shared" si="69"/>
        <v>25.081019822601721</v>
      </c>
    </row>
    <row r="427" spans="12:21" x14ac:dyDescent="0.55000000000000004">
      <c r="L427">
        <v>421</v>
      </c>
      <c r="M427">
        <f t="shared" si="61"/>
        <v>5.2904420286452112</v>
      </c>
      <c r="N427">
        <f t="shared" si="63"/>
        <v>265.01188517787546</v>
      </c>
      <c r="O427">
        <f t="shared" si="64"/>
        <v>622.66100573537869</v>
      </c>
      <c r="P427">
        <f t="shared" si="65"/>
        <v>625</v>
      </c>
      <c r="Q427">
        <f t="shared" si="66"/>
        <v>38.893095671510309</v>
      </c>
      <c r="R427">
        <f t="shared" si="67"/>
        <v>110.20738827801235</v>
      </c>
      <c r="S427">
        <f t="shared" si="62"/>
        <v>258.93873845921172</v>
      </c>
      <c r="T427">
        <f t="shared" si="68"/>
        <v>259.91142860451657</v>
      </c>
      <c r="U427">
        <f t="shared" si="69"/>
        <v>25.081019822601725</v>
      </c>
    </row>
    <row r="428" spans="12:21" x14ac:dyDescent="0.55000000000000004">
      <c r="L428">
        <v>422</v>
      </c>
      <c r="M428">
        <f t="shared" si="61"/>
        <v>5.3030083992595713</v>
      </c>
      <c r="N428">
        <f t="shared" si="63"/>
        <v>275.27664164149832</v>
      </c>
      <c r="O428">
        <f t="shared" si="64"/>
        <v>612.39624927175578</v>
      </c>
      <c r="P428">
        <f t="shared" si="65"/>
        <v>625</v>
      </c>
      <c r="Q428">
        <f t="shared" si="66"/>
        <v>38.893095671510309</v>
      </c>
      <c r="R428">
        <f t="shared" si="67"/>
        <v>114.47607230479259</v>
      </c>
      <c r="S428">
        <f t="shared" si="62"/>
        <v>254.67005443243147</v>
      </c>
      <c r="T428">
        <f t="shared" si="68"/>
        <v>259.91142860451657</v>
      </c>
      <c r="U428">
        <f t="shared" si="69"/>
        <v>25.081019822601725</v>
      </c>
    </row>
    <row r="429" spans="12:21" x14ac:dyDescent="0.55000000000000004">
      <c r="L429">
        <v>423</v>
      </c>
      <c r="M429">
        <f t="shared" si="61"/>
        <v>5.3155747698739297</v>
      </c>
      <c r="N429">
        <f t="shared" si="63"/>
        <v>285.64786409001903</v>
      </c>
      <c r="O429">
        <f t="shared" si="64"/>
        <v>602.02502682323507</v>
      </c>
      <c r="P429">
        <f t="shared" si="65"/>
        <v>625</v>
      </c>
      <c r="Q429">
        <f t="shared" si="66"/>
        <v>38.893095671510309</v>
      </c>
      <c r="R429">
        <f t="shared" si="67"/>
        <v>118.78903109354501</v>
      </c>
      <c r="S429">
        <f t="shared" si="62"/>
        <v>250.35709564367906</v>
      </c>
      <c r="T429">
        <f t="shared" si="68"/>
        <v>259.91142860451657</v>
      </c>
      <c r="U429">
        <f t="shared" si="69"/>
        <v>25.081019822601725</v>
      </c>
    </row>
    <row r="430" spans="12:21" x14ac:dyDescent="0.55000000000000004">
      <c r="L430">
        <v>424</v>
      </c>
      <c r="M430">
        <f t="shared" si="61"/>
        <v>5.328141140488289</v>
      </c>
      <c r="N430">
        <f t="shared" si="63"/>
        <v>296.11900183705069</v>
      </c>
      <c r="O430">
        <f t="shared" si="64"/>
        <v>591.55388907620329</v>
      </c>
      <c r="P430">
        <f t="shared" si="65"/>
        <v>625</v>
      </c>
      <c r="Q430">
        <f t="shared" si="66"/>
        <v>38.893095671510309</v>
      </c>
      <c r="R430">
        <f t="shared" si="67"/>
        <v>123.14354048705809</v>
      </c>
      <c r="S430">
        <f t="shared" si="62"/>
        <v>246.00258625016596</v>
      </c>
      <c r="T430">
        <f t="shared" si="68"/>
        <v>259.91142860451657</v>
      </c>
      <c r="U430">
        <f t="shared" si="69"/>
        <v>25.081019822601725</v>
      </c>
    </row>
    <row r="431" spans="12:21" x14ac:dyDescent="0.55000000000000004">
      <c r="L431">
        <v>425</v>
      </c>
      <c r="M431">
        <f t="shared" si="61"/>
        <v>5.3407075111026483</v>
      </c>
      <c r="N431">
        <f t="shared" si="63"/>
        <v>306.68344108755963</v>
      </c>
      <c r="O431">
        <f t="shared" si="64"/>
        <v>580.98944982569435</v>
      </c>
      <c r="P431">
        <f t="shared" si="65"/>
        <v>625</v>
      </c>
      <c r="Q431">
        <f t="shared" si="66"/>
        <v>38.893095671510309</v>
      </c>
      <c r="R431">
        <f t="shared" si="67"/>
        <v>127.53685008386674</v>
      </c>
      <c r="S431">
        <f t="shared" si="62"/>
        <v>241.60927665335731</v>
      </c>
      <c r="T431">
        <f t="shared" si="68"/>
        <v>259.91142860451657</v>
      </c>
      <c r="U431">
        <f t="shared" si="69"/>
        <v>25.081019822601725</v>
      </c>
    </row>
    <row r="432" spans="12:21" x14ac:dyDescent="0.55000000000000004">
      <c r="L432">
        <v>426</v>
      </c>
      <c r="M432">
        <f t="shared" si="61"/>
        <v>5.3532738817170076</v>
      </c>
      <c r="N432">
        <f t="shared" si="63"/>
        <v>317.33450911528337</v>
      </c>
      <c r="O432">
        <f t="shared" si="64"/>
        <v>570.33838179797078</v>
      </c>
      <c r="P432">
        <f t="shared" si="65"/>
        <v>625</v>
      </c>
      <c r="Q432">
        <f t="shared" si="66"/>
        <v>38.893095671510309</v>
      </c>
      <c r="R432">
        <f t="shared" si="67"/>
        <v>131.96618497546604</v>
      </c>
      <c r="S432">
        <f t="shared" si="62"/>
        <v>237.17994176175802</v>
      </c>
      <c r="T432">
        <f t="shared" si="68"/>
        <v>259.91142860451657</v>
      </c>
      <c r="U432">
        <f t="shared" si="69"/>
        <v>25.081019822601725</v>
      </c>
    </row>
    <row r="433" spans="12:21" x14ac:dyDescent="0.55000000000000004">
      <c r="L433">
        <v>427</v>
      </c>
      <c r="M433">
        <f t="shared" si="61"/>
        <v>5.3658402523313669</v>
      </c>
      <c r="N433">
        <f t="shared" si="63"/>
        <v>328.0654784773667</v>
      </c>
      <c r="O433">
        <f t="shared" si="64"/>
        <v>559.60741243588723</v>
      </c>
      <c r="P433">
        <f t="shared" si="65"/>
        <v>625</v>
      </c>
      <c r="Q433">
        <f t="shared" si="66"/>
        <v>38.893095671510309</v>
      </c>
      <c r="R433">
        <f t="shared" si="67"/>
        <v>136.42874749900267</v>
      </c>
      <c r="S433">
        <f t="shared" si="62"/>
        <v>232.71737923822135</v>
      </c>
      <c r="T433">
        <f t="shared" si="68"/>
        <v>259.91142860451657</v>
      </c>
      <c r="U433">
        <f t="shared" si="69"/>
        <v>25.081019822601721</v>
      </c>
    </row>
    <row r="434" spans="12:21" x14ac:dyDescent="0.55000000000000004">
      <c r="L434">
        <v>428</v>
      </c>
      <c r="M434">
        <f t="shared" si="61"/>
        <v>5.3784066229457261</v>
      </c>
      <c r="N434">
        <f t="shared" si="63"/>
        <v>338.86957126355975</v>
      </c>
      <c r="O434">
        <f t="shared" si="64"/>
        <v>548.80331964969423</v>
      </c>
      <c r="P434">
        <f t="shared" si="65"/>
        <v>625</v>
      </c>
      <c r="Q434">
        <f t="shared" si="66"/>
        <v>38.893095671510309</v>
      </c>
      <c r="R434">
        <f t="shared" si="67"/>
        <v>140.92171900433894</v>
      </c>
      <c r="S434">
        <f t="shared" si="62"/>
        <v>228.22440773288508</v>
      </c>
      <c r="T434">
        <f t="shared" si="68"/>
        <v>259.91142860451657</v>
      </c>
      <c r="U434">
        <f t="shared" si="69"/>
        <v>25.081019822601721</v>
      </c>
    </row>
    <row r="435" spans="12:21" x14ac:dyDescent="0.55000000000000004">
      <c r="L435">
        <v>429</v>
      </c>
      <c r="M435">
        <f t="shared" si="61"/>
        <v>5.3909729935600854</v>
      </c>
      <c r="N435">
        <f t="shared" si="63"/>
        <v>349.73996337729011</v>
      </c>
      <c r="O435">
        <f t="shared" si="64"/>
        <v>537.93292753596404</v>
      </c>
      <c r="P435">
        <f t="shared" si="65"/>
        <v>625</v>
      </c>
      <c r="Q435">
        <f t="shared" si="66"/>
        <v>38.893095671510309</v>
      </c>
      <c r="R435">
        <f t="shared" si="67"/>
        <v>145.44226163437244</v>
      </c>
      <c r="S435">
        <f t="shared" si="62"/>
        <v>223.70386510285167</v>
      </c>
      <c r="T435">
        <f t="shared" si="68"/>
        <v>259.91142860451657</v>
      </c>
      <c r="U435">
        <f t="shared" si="69"/>
        <v>25.081019822601725</v>
      </c>
    </row>
    <row r="436" spans="12:21" x14ac:dyDescent="0.55000000000000004">
      <c r="L436">
        <v>430</v>
      </c>
      <c r="M436">
        <f t="shared" si="61"/>
        <v>5.4035393641744438</v>
      </c>
      <c r="N436">
        <f t="shared" si="63"/>
        <v>360.6697888459085</v>
      </c>
      <c r="O436">
        <f t="shared" si="64"/>
        <v>527.00310206734548</v>
      </c>
      <c r="P436">
        <f t="shared" si="65"/>
        <v>625</v>
      </c>
      <c r="Q436">
        <f t="shared" si="66"/>
        <v>38.893095671510309</v>
      </c>
      <c r="R436">
        <f t="shared" si="67"/>
        <v>149.98752011748704</v>
      </c>
      <c r="S436">
        <f t="shared" si="62"/>
        <v>219.15860661973701</v>
      </c>
      <c r="T436">
        <f t="shared" si="68"/>
        <v>259.91142860451657</v>
      </c>
      <c r="U436">
        <f t="shared" si="69"/>
        <v>25.081019822601725</v>
      </c>
    </row>
    <row r="437" spans="12:21" x14ac:dyDescent="0.55000000000000004">
      <c r="L437">
        <v>431</v>
      </c>
      <c r="M437">
        <f t="shared" si="61"/>
        <v>5.416105734788804</v>
      </c>
      <c r="N437">
        <f t="shared" si="63"/>
        <v>371.65214415738802</v>
      </c>
      <c r="O437">
        <f t="shared" si="64"/>
        <v>516.02074675586596</v>
      </c>
      <c r="P437">
        <f t="shared" si="65"/>
        <v>625</v>
      </c>
      <c r="Q437">
        <f t="shared" si="66"/>
        <v>38.893095671510309</v>
      </c>
      <c r="R437">
        <f t="shared" si="67"/>
        <v>154.55462357100552</v>
      </c>
      <c r="S437">
        <f t="shared" si="62"/>
        <v>214.5915031662185</v>
      </c>
      <c r="T437">
        <f t="shared" si="68"/>
        <v>259.91142860451657</v>
      </c>
      <c r="U437">
        <f t="shared" si="69"/>
        <v>25.081019822601721</v>
      </c>
    </row>
    <row r="438" spans="12:21" x14ac:dyDescent="0.55000000000000004">
      <c r="L438">
        <v>432</v>
      </c>
      <c r="M438">
        <f t="shared" si="61"/>
        <v>5.4286721054031624</v>
      </c>
      <c r="N438">
        <f t="shared" si="63"/>
        <v>382.68009262072161</v>
      </c>
      <c r="O438">
        <f t="shared" si="64"/>
        <v>504.99279829253254</v>
      </c>
      <c r="P438">
        <f t="shared" si="65"/>
        <v>625</v>
      </c>
      <c r="Q438">
        <f t="shared" si="66"/>
        <v>38.893095671510309</v>
      </c>
      <c r="R438">
        <f t="shared" si="67"/>
        <v>159.14068731449674</v>
      </c>
      <c r="S438">
        <f t="shared" si="62"/>
        <v>210.00543942272736</v>
      </c>
      <c r="T438">
        <f t="shared" si="68"/>
        <v>259.91142860451657</v>
      </c>
      <c r="U438">
        <f t="shared" si="69"/>
        <v>25.081019822601725</v>
      </c>
    </row>
    <row r="439" spans="12:21" x14ac:dyDescent="0.55000000000000004">
      <c r="L439">
        <v>433</v>
      </c>
      <c r="M439">
        <f t="shared" si="61"/>
        <v>5.4412384760175216</v>
      </c>
      <c r="N439">
        <f t="shared" si="63"/>
        <v>393.74666874729564</v>
      </c>
      <c r="O439">
        <f t="shared" si="64"/>
        <v>493.92622216595845</v>
      </c>
      <c r="P439">
        <f t="shared" si="65"/>
        <v>625</v>
      </c>
      <c r="Q439">
        <f t="shared" si="66"/>
        <v>38.893095671510309</v>
      </c>
      <c r="R439">
        <f t="shared" si="67"/>
        <v>163.74281469180633</v>
      </c>
      <c r="S439">
        <f t="shared" si="62"/>
        <v>205.40331204541775</v>
      </c>
      <c r="T439">
        <f t="shared" si="68"/>
        <v>259.91142860451657</v>
      </c>
      <c r="U439">
        <f t="shared" si="69"/>
        <v>25.081019822601725</v>
      </c>
    </row>
    <row r="440" spans="12:21" x14ac:dyDescent="0.55000000000000004">
      <c r="L440">
        <v>434</v>
      </c>
      <c r="M440">
        <f t="shared" si="61"/>
        <v>5.4538048466318809</v>
      </c>
      <c r="N440">
        <f t="shared" si="63"/>
        <v>404.84488265043359</v>
      </c>
      <c r="O440">
        <f t="shared" si="64"/>
        <v>482.82800826282056</v>
      </c>
      <c r="P440">
        <f t="shared" si="65"/>
        <v>625</v>
      </c>
      <c r="Q440">
        <f t="shared" si="66"/>
        <v>38.893095671510309</v>
      </c>
      <c r="R440">
        <f t="shared" si="67"/>
        <v>168.35809890064328</v>
      </c>
      <c r="S440">
        <f t="shared" si="62"/>
        <v>200.78802783658082</v>
      </c>
      <c r="T440">
        <f t="shared" si="68"/>
        <v>259.91142860451657</v>
      </c>
      <c r="U440">
        <f t="shared" si="69"/>
        <v>25.081019822601725</v>
      </c>
    </row>
    <row r="441" spans="12:21" x14ac:dyDescent="0.55000000000000004">
      <c r="L441">
        <v>435</v>
      </c>
      <c r="M441">
        <f t="shared" si="61"/>
        <v>5.4663712172462402</v>
      </c>
      <c r="N441">
        <f t="shared" si="63"/>
        <v>415.96772446036158</v>
      </c>
      <c r="O441">
        <f t="shared" si="64"/>
        <v>471.70516645289246</v>
      </c>
      <c r="P441">
        <f t="shared" si="65"/>
        <v>625</v>
      </c>
      <c r="Q441">
        <f t="shared" si="66"/>
        <v>38.893095671510309</v>
      </c>
      <c r="R441">
        <f t="shared" si="67"/>
        <v>172.98362482857996</v>
      </c>
      <c r="S441">
        <f t="shared" si="62"/>
        <v>196.16250190864406</v>
      </c>
      <c r="T441">
        <f t="shared" si="68"/>
        <v>259.91142860451657</v>
      </c>
      <c r="U441">
        <f t="shared" si="69"/>
        <v>25.081019822601721</v>
      </c>
    </row>
    <row r="442" spans="12:21" x14ac:dyDescent="0.55000000000000004">
      <c r="L442">
        <v>436</v>
      </c>
      <c r="M442">
        <f t="shared" si="61"/>
        <v>5.4789375878605986</v>
      </c>
      <c r="N442">
        <f t="shared" si="63"/>
        <v>427.1081687517916</v>
      </c>
      <c r="O442">
        <f t="shared" si="64"/>
        <v>460.5647221614625</v>
      </c>
      <c r="P442">
        <f t="shared" si="65"/>
        <v>625</v>
      </c>
      <c r="Q442">
        <f t="shared" si="66"/>
        <v>38.893095671510309</v>
      </c>
      <c r="R442">
        <f t="shared" si="67"/>
        <v>177.61647089429934</v>
      </c>
      <c r="S442">
        <f t="shared" si="62"/>
        <v>191.52965584292474</v>
      </c>
      <c r="T442">
        <f t="shared" si="68"/>
        <v>259.91142860451657</v>
      </c>
      <c r="U442">
        <f t="shared" si="69"/>
        <v>25.081019822601725</v>
      </c>
    </row>
    <row r="443" spans="12:21" x14ac:dyDescent="0.55000000000000004">
      <c r="L443">
        <v>437</v>
      </c>
      <c r="M443">
        <f t="shared" si="61"/>
        <v>5.4915039584749588</v>
      </c>
      <c r="N443">
        <f t="shared" si="63"/>
        <v>438.25917898133372</v>
      </c>
      <c r="O443">
        <f t="shared" si="64"/>
        <v>449.41371193192032</v>
      </c>
      <c r="P443">
        <f t="shared" si="65"/>
        <v>625</v>
      </c>
      <c r="Q443">
        <f t="shared" si="66"/>
        <v>38.893095671510309</v>
      </c>
      <c r="R443">
        <f t="shared" si="67"/>
        <v>182.25371089292952</v>
      </c>
      <c r="S443">
        <f t="shared" si="62"/>
        <v>186.8924158442945</v>
      </c>
      <c r="T443">
        <f t="shared" si="68"/>
        <v>259.91142860451657</v>
      </c>
      <c r="U443">
        <f t="shared" si="69"/>
        <v>25.081019822601721</v>
      </c>
    </row>
    <row r="444" spans="12:21" x14ac:dyDescent="0.55000000000000004">
      <c r="L444">
        <v>438</v>
      </c>
      <c r="M444">
        <f t="shared" si="61"/>
        <v>5.504070329089318</v>
      </c>
      <c r="N444">
        <f t="shared" si="63"/>
        <v>449.41371193192066</v>
      </c>
      <c r="O444">
        <f t="shared" si="64"/>
        <v>438.25917898133332</v>
      </c>
      <c r="P444">
        <f t="shared" si="65"/>
        <v>625</v>
      </c>
      <c r="Q444">
        <f t="shared" si="66"/>
        <v>38.893095671510309</v>
      </c>
      <c r="R444">
        <f t="shared" si="67"/>
        <v>186.89241584429467</v>
      </c>
      <c r="S444">
        <f t="shared" si="62"/>
        <v>182.25371089292935</v>
      </c>
      <c r="T444">
        <f t="shared" si="68"/>
        <v>259.91142860451657</v>
      </c>
      <c r="U444">
        <f t="shared" si="69"/>
        <v>25.081019822601721</v>
      </c>
    </row>
    <row r="445" spans="12:21" x14ac:dyDescent="0.55000000000000004">
      <c r="L445">
        <v>439</v>
      </c>
      <c r="M445">
        <f t="shared" si="61"/>
        <v>5.5166366997036764</v>
      </c>
      <c r="N445">
        <f t="shared" si="63"/>
        <v>460.56472216146125</v>
      </c>
      <c r="O445">
        <f t="shared" si="64"/>
        <v>427.10816875179279</v>
      </c>
      <c r="P445">
        <f t="shared" si="65"/>
        <v>625</v>
      </c>
      <c r="Q445">
        <f t="shared" si="66"/>
        <v>38.893095671510309</v>
      </c>
      <c r="R445">
        <f t="shared" si="67"/>
        <v>191.5296558429242</v>
      </c>
      <c r="S445">
        <f t="shared" si="62"/>
        <v>177.61647089429985</v>
      </c>
      <c r="T445">
        <f t="shared" si="68"/>
        <v>259.91142860451657</v>
      </c>
      <c r="U445">
        <f t="shared" si="69"/>
        <v>25.081019822601725</v>
      </c>
    </row>
    <row r="446" spans="12:21" x14ac:dyDescent="0.55000000000000004">
      <c r="L446">
        <v>440</v>
      </c>
      <c r="M446">
        <f t="shared" si="61"/>
        <v>5.5292030703180366</v>
      </c>
      <c r="N446">
        <f t="shared" si="63"/>
        <v>471.7051664528928</v>
      </c>
      <c r="O446">
        <f t="shared" si="64"/>
        <v>415.96772446036118</v>
      </c>
      <c r="P446">
        <f t="shared" si="65"/>
        <v>625</v>
      </c>
      <c r="Q446">
        <f t="shared" si="66"/>
        <v>38.893095671510309</v>
      </c>
      <c r="R446">
        <f t="shared" si="67"/>
        <v>196.16250190864423</v>
      </c>
      <c r="S446">
        <f t="shared" si="62"/>
        <v>172.98362482857979</v>
      </c>
      <c r="T446">
        <f t="shared" si="68"/>
        <v>259.91142860451657</v>
      </c>
      <c r="U446">
        <f t="shared" si="69"/>
        <v>25.081019822601721</v>
      </c>
    </row>
    <row r="447" spans="12:21" x14ac:dyDescent="0.55000000000000004">
      <c r="L447">
        <v>441</v>
      </c>
      <c r="M447">
        <f t="shared" si="61"/>
        <v>5.541769440932395</v>
      </c>
      <c r="N447">
        <f t="shared" si="63"/>
        <v>482.82800826282016</v>
      </c>
      <c r="O447">
        <f t="shared" si="64"/>
        <v>404.84488265043399</v>
      </c>
      <c r="P447">
        <f t="shared" si="65"/>
        <v>625</v>
      </c>
      <c r="Q447">
        <f t="shared" si="66"/>
        <v>38.893095671510309</v>
      </c>
      <c r="R447">
        <f t="shared" si="67"/>
        <v>200.78802783658065</v>
      </c>
      <c r="S447">
        <f t="shared" si="62"/>
        <v>168.35809890064345</v>
      </c>
      <c r="T447">
        <f t="shared" si="68"/>
        <v>259.91142860451657</v>
      </c>
      <c r="U447">
        <f t="shared" si="69"/>
        <v>25.081019822601725</v>
      </c>
    </row>
    <row r="448" spans="12:21" x14ac:dyDescent="0.55000000000000004">
      <c r="L448">
        <v>442</v>
      </c>
      <c r="M448">
        <f t="shared" si="61"/>
        <v>5.5543358115467543</v>
      </c>
      <c r="N448">
        <f t="shared" si="63"/>
        <v>493.92622216595794</v>
      </c>
      <c r="O448">
        <f t="shared" si="64"/>
        <v>393.74666874729604</v>
      </c>
      <c r="P448">
        <f t="shared" si="65"/>
        <v>625</v>
      </c>
      <c r="Q448">
        <f t="shared" si="66"/>
        <v>38.893095671510309</v>
      </c>
      <c r="R448">
        <f t="shared" si="67"/>
        <v>205.40331204541752</v>
      </c>
      <c r="S448">
        <f t="shared" si="62"/>
        <v>163.7428146918065</v>
      </c>
      <c r="T448">
        <f t="shared" si="68"/>
        <v>259.91142860451657</v>
      </c>
      <c r="U448">
        <f t="shared" si="69"/>
        <v>25.081019822601721</v>
      </c>
    </row>
    <row r="449" spans="12:21" x14ac:dyDescent="0.55000000000000004">
      <c r="L449">
        <v>443</v>
      </c>
      <c r="M449">
        <f t="shared" si="61"/>
        <v>5.5669021821611135</v>
      </c>
      <c r="N449">
        <f t="shared" si="63"/>
        <v>504.99279829253214</v>
      </c>
      <c r="O449">
        <f t="shared" si="64"/>
        <v>382.68009262072195</v>
      </c>
      <c r="P449">
        <f t="shared" si="65"/>
        <v>625</v>
      </c>
      <c r="Q449">
        <f t="shared" si="66"/>
        <v>38.893095671510309</v>
      </c>
      <c r="R449">
        <f t="shared" si="67"/>
        <v>210.00543942272719</v>
      </c>
      <c r="S449">
        <f t="shared" si="62"/>
        <v>159.14068731449689</v>
      </c>
      <c r="T449">
        <f t="shared" si="68"/>
        <v>259.91142860451657</v>
      </c>
      <c r="U449">
        <f t="shared" si="69"/>
        <v>25.081019822601725</v>
      </c>
    </row>
    <row r="450" spans="12:21" x14ac:dyDescent="0.55000000000000004">
      <c r="L450">
        <v>444</v>
      </c>
      <c r="M450">
        <f t="shared" si="61"/>
        <v>5.5794685527754728</v>
      </c>
      <c r="N450">
        <f t="shared" si="63"/>
        <v>516.02074675586641</v>
      </c>
      <c r="O450">
        <f t="shared" si="64"/>
        <v>371.65214415738762</v>
      </c>
      <c r="P450">
        <f t="shared" si="65"/>
        <v>625</v>
      </c>
      <c r="Q450">
        <f t="shared" si="66"/>
        <v>38.893095671510309</v>
      </c>
      <c r="R450">
        <f t="shared" si="67"/>
        <v>214.59150316621873</v>
      </c>
      <c r="S450">
        <f t="shared" si="62"/>
        <v>154.55462357100535</v>
      </c>
      <c r="T450">
        <f t="shared" si="68"/>
        <v>259.91142860451657</v>
      </c>
      <c r="U450">
        <f t="shared" si="69"/>
        <v>25.081019822601725</v>
      </c>
    </row>
    <row r="451" spans="12:21" x14ac:dyDescent="0.55000000000000004">
      <c r="L451">
        <v>445</v>
      </c>
      <c r="M451">
        <f t="shared" si="61"/>
        <v>5.5920349233898312</v>
      </c>
      <c r="N451">
        <f t="shared" si="63"/>
        <v>527.00310206734434</v>
      </c>
      <c r="O451">
        <f t="shared" si="64"/>
        <v>360.66978884590964</v>
      </c>
      <c r="P451">
        <f t="shared" si="65"/>
        <v>625</v>
      </c>
      <c r="Q451">
        <f t="shared" si="66"/>
        <v>38.893095671510309</v>
      </c>
      <c r="R451">
        <f t="shared" si="67"/>
        <v>219.1586066197365</v>
      </c>
      <c r="S451">
        <f t="shared" si="62"/>
        <v>149.98752011748752</v>
      </c>
      <c r="T451">
        <f t="shared" si="68"/>
        <v>259.91142860451657</v>
      </c>
      <c r="U451">
        <f t="shared" si="69"/>
        <v>25.081019822601721</v>
      </c>
    </row>
    <row r="452" spans="12:21" x14ac:dyDescent="0.55000000000000004">
      <c r="L452">
        <v>446</v>
      </c>
      <c r="M452">
        <f t="shared" si="61"/>
        <v>5.6046012940041914</v>
      </c>
      <c r="N452">
        <f t="shared" si="63"/>
        <v>537.93292753596438</v>
      </c>
      <c r="O452">
        <f t="shared" si="64"/>
        <v>349.73996337728965</v>
      </c>
      <c r="P452">
        <f t="shared" si="65"/>
        <v>625</v>
      </c>
      <c r="Q452">
        <f t="shared" si="66"/>
        <v>38.893095671510309</v>
      </c>
      <c r="R452">
        <f t="shared" si="67"/>
        <v>223.70386510285178</v>
      </c>
      <c r="S452">
        <f t="shared" si="62"/>
        <v>145.44226163437224</v>
      </c>
      <c r="T452">
        <f t="shared" si="68"/>
        <v>259.91142860451657</v>
      </c>
      <c r="U452">
        <f t="shared" si="69"/>
        <v>25.081019822601721</v>
      </c>
    </row>
    <row r="453" spans="12:21" x14ac:dyDescent="0.55000000000000004">
      <c r="L453">
        <v>447</v>
      </c>
      <c r="M453">
        <f t="shared" si="61"/>
        <v>5.6171676646185498</v>
      </c>
      <c r="N453">
        <f t="shared" si="63"/>
        <v>548.803319649694</v>
      </c>
      <c r="O453">
        <f t="shared" si="64"/>
        <v>338.86957126356009</v>
      </c>
      <c r="P453">
        <f t="shared" si="65"/>
        <v>625</v>
      </c>
      <c r="Q453">
        <f t="shared" si="66"/>
        <v>38.893095671510309</v>
      </c>
      <c r="R453">
        <f t="shared" si="67"/>
        <v>228.22440773288497</v>
      </c>
      <c r="S453">
        <f t="shared" si="62"/>
        <v>140.92171900433908</v>
      </c>
      <c r="T453">
        <f t="shared" si="68"/>
        <v>259.91142860451657</v>
      </c>
      <c r="U453">
        <f t="shared" si="69"/>
        <v>25.081019822601725</v>
      </c>
    </row>
    <row r="454" spans="12:21" x14ac:dyDescent="0.55000000000000004">
      <c r="L454">
        <v>448</v>
      </c>
      <c r="M454">
        <f t="shared" si="61"/>
        <v>5.6297340352329091</v>
      </c>
      <c r="N454">
        <f t="shared" si="63"/>
        <v>559.60741243588689</v>
      </c>
      <c r="O454">
        <f t="shared" si="64"/>
        <v>328.06547847736709</v>
      </c>
      <c r="P454">
        <f t="shared" si="65"/>
        <v>625</v>
      </c>
      <c r="Q454">
        <f t="shared" si="66"/>
        <v>38.893095671510309</v>
      </c>
      <c r="R454">
        <f t="shared" si="67"/>
        <v>232.71737923822124</v>
      </c>
      <c r="S454">
        <f t="shared" si="62"/>
        <v>136.42874749900281</v>
      </c>
      <c r="T454">
        <f t="shared" si="68"/>
        <v>259.91142860451657</v>
      </c>
      <c r="U454">
        <f t="shared" si="69"/>
        <v>25.081019822601725</v>
      </c>
    </row>
    <row r="455" spans="12:21" x14ac:dyDescent="0.55000000000000004">
      <c r="L455">
        <v>449</v>
      </c>
      <c r="M455">
        <f t="shared" ref="M455:M506" si="70">2*PI()*L455/500</f>
        <v>5.6423004058472692</v>
      </c>
      <c r="N455">
        <f t="shared" si="63"/>
        <v>570.33838179797101</v>
      </c>
      <c r="O455">
        <f t="shared" si="64"/>
        <v>317.33450911528286</v>
      </c>
      <c r="P455">
        <f t="shared" si="65"/>
        <v>625</v>
      </c>
      <c r="Q455">
        <f t="shared" si="66"/>
        <v>38.893095671510309</v>
      </c>
      <c r="R455">
        <f t="shared" si="67"/>
        <v>237.17994176175816</v>
      </c>
      <c r="S455">
        <f t="shared" ref="S455:S506" si="71">$C$45^2*$C$27^2*SIN(M455)^2</f>
        <v>131.96618497546584</v>
      </c>
      <c r="T455">
        <f t="shared" si="68"/>
        <v>259.91142860451657</v>
      </c>
      <c r="U455">
        <f t="shared" si="69"/>
        <v>25.081019822601721</v>
      </c>
    </row>
    <row r="456" spans="12:21" x14ac:dyDescent="0.55000000000000004">
      <c r="L456">
        <v>450</v>
      </c>
      <c r="M456">
        <f t="shared" si="70"/>
        <v>5.6548667764616276</v>
      </c>
      <c r="N456">
        <f t="shared" si="63"/>
        <v>580.98944982569412</v>
      </c>
      <c r="O456">
        <f t="shared" si="64"/>
        <v>306.68344108756008</v>
      </c>
      <c r="P456">
        <f t="shared" si="65"/>
        <v>625</v>
      </c>
      <c r="Q456">
        <f t="shared" si="66"/>
        <v>38.893095671510309</v>
      </c>
      <c r="R456">
        <f t="shared" si="67"/>
        <v>241.6092766533572</v>
      </c>
      <c r="S456">
        <f t="shared" si="71"/>
        <v>127.53685008386692</v>
      </c>
      <c r="T456">
        <f t="shared" si="68"/>
        <v>259.91142860451657</v>
      </c>
      <c r="U456">
        <f t="shared" si="69"/>
        <v>25.081019822601725</v>
      </c>
    </row>
    <row r="457" spans="12:21" x14ac:dyDescent="0.55000000000000004">
      <c r="L457">
        <v>451</v>
      </c>
      <c r="M457">
        <f t="shared" si="70"/>
        <v>5.6674331470759869</v>
      </c>
      <c r="N457">
        <f t="shared" si="63"/>
        <v>591.55388907620306</v>
      </c>
      <c r="O457">
        <f t="shared" si="64"/>
        <v>296.11900183705114</v>
      </c>
      <c r="P457">
        <f t="shared" si="65"/>
        <v>625</v>
      </c>
      <c r="Q457">
        <f t="shared" si="66"/>
        <v>38.893095671510309</v>
      </c>
      <c r="R457">
        <f t="shared" si="67"/>
        <v>246.00258625016585</v>
      </c>
      <c r="S457">
        <f t="shared" si="71"/>
        <v>123.14354048705827</v>
      </c>
      <c r="T457">
        <f t="shared" si="68"/>
        <v>259.91142860451657</v>
      </c>
      <c r="U457">
        <f t="shared" si="69"/>
        <v>25.081019822601725</v>
      </c>
    </row>
    <row r="458" spans="12:21" x14ac:dyDescent="0.55000000000000004">
      <c r="L458">
        <v>452</v>
      </c>
      <c r="M458">
        <f t="shared" si="70"/>
        <v>5.6799995176903462</v>
      </c>
      <c r="N458">
        <f t="shared" si="63"/>
        <v>602.02502682323473</v>
      </c>
      <c r="O458">
        <f t="shared" si="64"/>
        <v>285.64786409001937</v>
      </c>
      <c r="P458">
        <f t="shared" si="65"/>
        <v>625</v>
      </c>
      <c r="Q458">
        <f t="shared" si="66"/>
        <v>38.893095671510309</v>
      </c>
      <c r="R458">
        <f t="shared" si="67"/>
        <v>250.35709564367895</v>
      </c>
      <c r="S458">
        <f t="shared" si="71"/>
        <v>118.78903109354515</v>
      </c>
      <c r="T458">
        <f t="shared" si="68"/>
        <v>259.91142860451657</v>
      </c>
      <c r="U458">
        <f t="shared" si="69"/>
        <v>25.081019822601725</v>
      </c>
    </row>
    <row r="459" spans="12:21" x14ac:dyDescent="0.55000000000000004">
      <c r="L459">
        <v>453</v>
      </c>
      <c r="M459">
        <f t="shared" si="70"/>
        <v>5.6925658883047054</v>
      </c>
      <c r="N459">
        <f t="shared" si="63"/>
        <v>612.39624927175612</v>
      </c>
      <c r="O459">
        <f t="shared" si="64"/>
        <v>275.27664164149797</v>
      </c>
      <c r="P459">
        <f t="shared" si="65"/>
        <v>625</v>
      </c>
      <c r="Q459">
        <f t="shared" si="66"/>
        <v>38.893095671510309</v>
      </c>
      <c r="R459">
        <f t="shared" si="67"/>
        <v>254.67005443243161</v>
      </c>
      <c r="S459">
        <f t="shared" si="71"/>
        <v>114.47607230479245</v>
      </c>
      <c r="T459">
        <f t="shared" si="68"/>
        <v>259.91142860451657</v>
      </c>
      <c r="U459">
        <f t="shared" si="69"/>
        <v>25.081019822601725</v>
      </c>
    </row>
    <row r="460" spans="12:21" x14ac:dyDescent="0.55000000000000004">
      <c r="L460">
        <v>454</v>
      </c>
      <c r="M460">
        <f t="shared" si="70"/>
        <v>5.7051322589190638</v>
      </c>
      <c r="N460">
        <f t="shared" si="63"/>
        <v>622.66100573537744</v>
      </c>
      <c r="O460">
        <f t="shared" si="64"/>
        <v>265.01188517787654</v>
      </c>
      <c r="P460">
        <f t="shared" si="65"/>
        <v>625</v>
      </c>
      <c r="Q460">
        <f t="shared" si="66"/>
        <v>38.893095671510309</v>
      </c>
      <c r="R460">
        <f t="shared" si="67"/>
        <v>258.93873845921127</v>
      </c>
      <c r="S460">
        <f t="shared" si="71"/>
        <v>110.2073882780128</v>
      </c>
      <c r="T460">
        <f t="shared" si="68"/>
        <v>259.91142860451657</v>
      </c>
      <c r="U460">
        <f t="shared" si="69"/>
        <v>25.081019822601725</v>
      </c>
    </row>
    <row r="461" spans="12:21" x14ac:dyDescent="0.55000000000000004">
      <c r="L461">
        <v>455</v>
      </c>
      <c r="M461">
        <f t="shared" si="70"/>
        <v>5.717698629533424</v>
      </c>
      <c r="N461">
        <f t="shared" si="63"/>
        <v>632.81281277390997</v>
      </c>
      <c r="O461">
        <f t="shared" si="64"/>
        <v>254.86007813934407</v>
      </c>
      <c r="P461">
        <f t="shared" si="65"/>
        <v>625</v>
      </c>
      <c r="Q461">
        <f t="shared" si="66"/>
        <v>38.893095671510309</v>
      </c>
      <c r="R461">
        <f t="shared" si="67"/>
        <v>263.16045153169506</v>
      </c>
      <c r="S461">
        <f t="shared" si="71"/>
        <v>105.98567520552901</v>
      </c>
      <c r="T461">
        <f t="shared" si="68"/>
        <v>259.91142860451657</v>
      </c>
      <c r="U461">
        <f t="shared" si="69"/>
        <v>25.081019822601725</v>
      </c>
    </row>
    <row r="462" spans="12:21" x14ac:dyDescent="0.55000000000000004">
      <c r="L462">
        <v>456</v>
      </c>
      <c r="M462">
        <f t="shared" si="70"/>
        <v>5.7302650001477824</v>
      </c>
      <c r="N462">
        <f t="shared" si="63"/>
        <v>642.84525828843721</v>
      </c>
      <c r="O462">
        <f t="shared" si="64"/>
        <v>244.82763262481683</v>
      </c>
      <c r="P462">
        <f t="shared" si="65"/>
        <v>625</v>
      </c>
      <c r="Q462">
        <f t="shared" si="66"/>
        <v>38.893095671510309</v>
      </c>
      <c r="R462">
        <f t="shared" si="67"/>
        <v>267.33252712541946</v>
      </c>
      <c r="S462">
        <f t="shared" si="71"/>
        <v>101.81359961180462</v>
      </c>
      <c r="T462">
        <f t="shared" si="68"/>
        <v>259.91142860451657</v>
      </c>
      <c r="U462">
        <f t="shared" si="69"/>
        <v>25.081019822601725</v>
      </c>
    </row>
    <row r="463" spans="12:21" x14ac:dyDescent="0.55000000000000004">
      <c r="L463">
        <v>457</v>
      </c>
      <c r="M463">
        <f t="shared" si="70"/>
        <v>5.7428313707621417</v>
      </c>
      <c r="N463">
        <f t="shared" ref="N463:N506" si="72">$C$16^2*$C$3^2*COS(M463)^2</f>
        <v>652.75200557134519</v>
      </c>
      <c r="O463">
        <f t="shared" ref="O463:O506" si="73">$C$16^2*$C$3^2*SIN(M463)^2</f>
        <v>234.92088534190881</v>
      </c>
      <c r="P463">
        <f t="shared" ref="P463:P506" si="74">($C$3^2-$C$15*$C$3*SIN(M463))^2</f>
        <v>625</v>
      </c>
      <c r="Q463">
        <f t="shared" ref="Q463:Q506" si="75">SQRT(N463+O463+P463)</f>
        <v>38.893095671510309</v>
      </c>
      <c r="R463">
        <f t="shared" ref="R463:R506" si="76">$C$45^2*$C$28^2*COS(M463)^2</f>
        <v>271.45233006801868</v>
      </c>
      <c r="S463">
        <f t="shared" si="71"/>
        <v>97.693796669205369</v>
      </c>
      <c r="T463">
        <f t="shared" ref="T463:T506" si="77">($C$27*$C$28-$C$44*$C$27*SIN(M463))^2</f>
        <v>259.91142860451657</v>
      </c>
      <c r="U463">
        <f t="shared" ref="U463:U506" si="78">SQRT(R463+S463+T463)</f>
        <v>25.081019822601725</v>
      </c>
    </row>
    <row r="464" spans="12:21" x14ac:dyDescent="0.55000000000000004">
      <c r="L464">
        <v>458</v>
      </c>
      <c r="M464">
        <f t="shared" si="70"/>
        <v>5.755397741376501</v>
      </c>
      <c r="N464">
        <f t="shared" si="72"/>
        <v>662.52679730871398</v>
      </c>
      <c r="O464">
        <f t="shared" si="73"/>
        <v>225.14609360454003</v>
      </c>
      <c r="P464">
        <f t="shared" si="74"/>
        <v>625</v>
      </c>
      <c r="Q464">
        <f t="shared" si="75"/>
        <v>38.893095671510309</v>
      </c>
      <c r="R464">
        <f t="shared" si="76"/>
        <v>275.51725820365249</v>
      </c>
      <c r="S464">
        <f t="shared" si="71"/>
        <v>93.628868533571534</v>
      </c>
      <c r="T464">
        <f t="shared" si="77"/>
        <v>259.91142860451657</v>
      </c>
      <c r="U464">
        <f t="shared" si="78"/>
        <v>25.081019822601721</v>
      </c>
    </row>
    <row r="465" spans="12:21" x14ac:dyDescent="0.55000000000000004">
      <c r="L465">
        <v>459</v>
      </c>
      <c r="M465">
        <f t="shared" si="70"/>
        <v>5.7679641119908602</v>
      </c>
      <c r="N465">
        <f t="shared" si="72"/>
        <v>672.16345953257508</v>
      </c>
      <c r="O465">
        <f t="shared" si="73"/>
        <v>215.50943138067888</v>
      </c>
      <c r="P465">
        <f t="shared" si="74"/>
        <v>625</v>
      </c>
      <c r="Q465">
        <f t="shared" si="75"/>
        <v>38.893095671510309</v>
      </c>
      <c r="R465">
        <f t="shared" si="76"/>
        <v>279.52474403658522</v>
      </c>
      <c r="S465">
        <f t="shared" si="71"/>
        <v>89.621382700638847</v>
      </c>
      <c r="T465">
        <f t="shared" si="77"/>
        <v>259.91142860451657</v>
      </c>
      <c r="U465">
        <f t="shared" si="78"/>
        <v>25.081019822601725</v>
      </c>
    </row>
    <row r="466" spans="12:21" x14ac:dyDescent="0.55000000000000004">
      <c r="L466">
        <v>460</v>
      </c>
      <c r="M466">
        <f t="shared" si="70"/>
        <v>5.7805304826052195</v>
      </c>
      <c r="N466">
        <f t="shared" si="72"/>
        <v>681.65590552052174</v>
      </c>
      <c r="O466">
        <f t="shared" si="73"/>
        <v>206.01698539273235</v>
      </c>
      <c r="P466">
        <f t="shared" si="74"/>
        <v>625</v>
      </c>
      <c r="Q466">
        <f t="shared" si="75"/>
        <v>38.893095671510309</v>
      </c>
      <c r="R466">
        <f t="shared" si="76"/>
        <v>283.47225635287066</v>
      </c>
      <c r="S466">
        <f t="shared" si="71"/>
        <v>85.673870384353407</v>
      </c>
      <c r="T466">
        <f t="shared" si="77"/>
        <v>259.91142860451657</v>
      </c>
      <c r="U466">
        <f t="shared" si="78"/>
        <v>25.081019822601725</v>
      </c>
    </row>
    <row r="467" spans="12:21" x14ac:dyDescent="0.55000000000000004">
      <c r="L467">
        <v>461</v>
      </c>
      <c r="M467">
        <f t="shared" si="70"/>
        <v>5.7930968532195788</v>
      </c>
      <c r="N467">
        <f t="shared" si="72"/>
        <v>690.99813964021223</v>
      </c>
      <c r="O467">
        <f t="shared" si="73"/>
        <v>196.67475127304178</v>
      </c>
      <c r="P467">
        <f t="shared" si="74"/>
        <v>625</v>
      </c>
      <c r="Q467">
        <f t="shared" si="75"/>
        <v>38.893095671510309</v>
      </c>
      <c r="R467">
        <f t="shared" si="76"/>
        <v>287.35730181912123</v>
      </c>
      <c r="S467">
        <f t="shared" si="71"/>
        <v>81.788824918102804</v>
      </c>
      <c r="T467">
        <f t="shared" si="77"/>
        <v>259.91142860451657</v>
      </c>
      <c r="U467">
        <f t="shared" si="78"/>
        <v>25.081019822601725</v>
      </c>
    </row>
    <row r="468" spans="12:21" x14ac:dyDescent="0.55000000000000004">
      <c r="L468">
        <v>462</v>
      </c>
      <c r="M468">
        <f t="shared" si="70"/>
        <v>5.8056632238339381</v>
      </c>
      <c r="N468">
        <f t="shared" si="72"/>
        <v>700.18426113634098</v>
      </c>
      <c r="O468">
        <f t="shared" si="73"/>
        <v>187.48862977691303</v>
      </c>
      <c r="P468">
        <f t="shared" si="74"/>
        <v>625</v>
      </c>
      <c r="Q468">
        <f t="shared" si="75"/>
        <v>38.893095671510309</v>
      </c>
      <c r="R468">
        <f t="shared" si="76"/>
        <v>291.17742655735083</v>
      </c>
      <c r="S468">
        <f t="shared" si="71"/>
        <v>77.968700179873224</v>
      </c>
      <c r="T468">
        <f t="shared" si="77"/>
        <v>259.91142860451657</v>
      </c>
      <c r="U468">
        <f t="shared" si="78"/>
        <v>25.081019822601725</v>
      </c>
    </row>
    <row r="469" spans="12:21" x14ac:dyDescent="0.55000000000000004">
      <c r="L469">
        <v>463</v>
      </c>
      <c r="M469">
        <f t="shared" si="70"/>
        <v>5.8182295944482965</v>
      </c>
      <c r="N469">
        <f t="shared" si="72"/>
        <v>709.2084678576806</v>
      </c>
      <c r="O469">
        <f t="shared" si="73"/>
        <v>178.46442305557346</v>
      </c>
      <c r="P469">
        <f t="shared" si="74"/>
        <v>625</v>
      </c>
      <c r="Q469">
        <f t="shared" si="75"/>
        <v>38.893095671510309</v>
      </c>
      <c r="R469">
        <f t="shared" si="76"/>
        <v>294.93021769489621</v>
      </c>
      <c r="S469">
        <f t="shared" si="71"/>
        <v>74.215909042327866</v>
      </c>
      <c r="T469">
        <f t="shared" si="77"/>
        <v>259.91142860451657</v>
      </c>
      <c r="U469">
        <f t="shared" si="78"/>
        <v>25.081019822601725</v>
      </c>
    </row>
    <row r="470" spans="12:21" x14ac:dyDescent="0.55000000000000004">
      <c r="L470">
        <v>464</v>
      </c>
      <c r="M470">
        <f t="shared" si="70"/>
        <v>5.8307959650626566</v>
      </c>
      <c r="N470">
        <f t="shared" si="72"/>
        <v>718.06505992184816</v>
      </c>
      <c r="O470">
        <f t="shared" si="73"/>
        <v>169.60783099140588</v>
      </c>
      <c r="P470">
        <f t="shared" si="74"/>
        <v>625</v>
      </c>
      <c r="Q470">
        <f t="shared" si="75"/>
        <v>38.893095671510309</v>
      </c>
      <c r="R470">
        <f t="shared" si="76"/>
        <v>298.6133048884405</v>
      </c>
      <c r="S470">
        <f t="shared" si="71"/>
        <v>70.532821848783513</v>
      </c>
      <c r="T470">
        <f t="shared" si="77"/>
        <v>259.91142860451657</v>
      </c>
      <c r="U470">
        <f t="shared" si="78"/>
        <v>25.081019822601721</v>
      </c>
    </row>
    <row r="471" spans="12:21" x14ac:dyDescent="0.55000000000000004">
      <c r="L471">
        <v>465</v>
      </c>
      <c r="M471">
        <f t="shared" si="70"/>
        <v>5.843362335677015</v>
      </c>
      <c r="N471">
        <f t="shared" si="72"/>
        <v>726.7484433154666</v>
      </c>
      <c r="O471">
        <f t="shared" si="73"/>
        <v>160.92444759778738</v>
      </c>
      <c r="P471">
        <f t="shared" si="74"/>
        <v>625</v>
      </c>
      <c r="Q471">
        <f t="shared" si="75"/>
        <v>38.893095671510309</v>
      </c>
      <c r="R471">
        <f t="shared" si="76"/>
        <v>302.22436182117031</v>
      </c>
      <c r="S471">
        <f t="shared" si="71"/>
        <v>66.921764916053718</v>
      </c>
      <c r="T471">
        <f t="shared" si="77"/>
        <v>259.91142860451657</v>
      </c>
      <c r="U471">
        <f t="shared" si="78"/>
        <v>25.081019822601721</v>
      </c>
    </row>
    <row r="472" spans="12:21" x14ac:dyDescent="0.55000000000000004">
      <c r="L472">
        <v>466</v>
      </c>
      <c r="M472">
        <f t="shared" si="70"/>
        <v>5.8559287062913743</v>
      </c>
      <c r="N472">
        <f t="shared" si="72"/>
        <v>735.25313342747211</v>
      </c>
      <c r="O472">
        <f t="shared" si="73"/>
        <v>152.41975748578196</v>
      </c>
      <c r="P472">
        <f t="shared" si="74"/>
        <v>625</v>
      </c>
      <c r="Q472">
        <f t="shared" si="75"/>
        <v>38.893095671510309</v>
      </c>
      <c r="R472">
        <f t="shared" si="76"/>
        <v>305.76110767213038</v>
      </c>
      <c r="S472">
        <f t="shared" si="71"/>
        <v>63.385019065093665</v>
      </c>
      <c r="T472">
        <f t="shared" si="77"/>
        <v>259.91142860451657</v>
      </c>
      <c r="U472">
        <f t="shared" si="78"/>
        <v>25.081019822601725</v>
      </c>
    </row>
    <row r="473" spans="12:21" x14ac:dyDescent="0.55000000000000004">
      <c r="L473">
        <v>467</v>
      </c>
      <c r="M473">
        <f t="shared" si="70"/>
        <v>5.8684950769057336</v>
      </c>
      <c r="N473">
        <f t="shared" si="72"/>
        <v>743.57375851330482</v>
      </c>
      <c r="O473">
        <f t="shared" si="73"/>
        <v>144.09913239994933</v>
      </c>
      <c r="P473">
        <f t="shared" si="74"/>
        <v>625</v>
      </c>
      <c r="Q473">
        <f t="shared" si="75"/>
        <v>38.893095671510309</v>
      </c>
      <c r="R473">
        <f t="shared" si="76"/>
        <v>309.22130855683656</v>
      </c>
      <c r="S473">
        <f t="shared" si="71"/>
        <v>59.924818180387533</v>
      </c>
      <c r="T473">
        <f t="shared" si="77"/>
        <v>259.91142860451657</v>
      </c>
      <c r="U473">
        <f t="shared" si="78"/>
        <v>25.081019822601725</v>
      </c>
    </row>
    <row r="474" spans="12:21" x14ac:dyDescent="0.55000000000000004">
      <c r="L474">
        <v>468</v>
      </c>
      <c r="M474">
        <f t="shared" si="70"/>
        <v>5.8810614475200929</v>
      </c>
      <c r="N474">
        <f t="shared" si="72"/>
        <v>751.70506308782092</v>
      </c>
      <c r="O474">
        <f t="shared" si="73"/>
        <v>135.96782782543303</v>
      </c>
      <c r="P474">
        <f t="shared" si="74"/>
        <v>625</v>
      </c>
      <c r="Q474">
        <f t="shared" si="75"/>
        <v>38.893095671510309</v>
      </c>
      <c r="R474">
        <f t="shared" si="76"/>
        <v>312.60277893824605</v>
      </c>
      <c r="S474">
        <f t="shared" si="71"/>
        <v>56.543347798977976</v>
      </c>
      <c r="T474">
        <f t="shared" si="77"/>
        <v>259.91142860451657</v>
      </c>
      <c r="U474">
        <f t="shared" si="78"/>
        <v>25.081019822601721</v>
      </c>
    </row>
    <row r="475" spans="12:21" x14ac:dyDescent="0.55000000000000004">
      <c r="L475">
        <v>469</v>
      </c>
      <c r="M475">
        <f t="shared" si="70"/>
        <v>5.8936278181344512</v>
      </c>
      <c r="N475">
        <f t="shared" si="72"/>
        <v>759.64191124476952</v>
      </c>
      <c r="O475">
        <f t="shared" si="73"/>
        <v>128.03097966848441</v>
      </c>
      <c r="P475">
        <f t="shared" si="74"/>
        <v>625</v>
      </c>
      <c r="Q475">
        <f t="shared" si="75"/>
        <v>38.893095671510309</v>
      </c>
      <c r="R475">
        <f t="shared" si="76"/>
        <v>315.90338300718946</v>
      </c>
      <c r="S475">
        <f t="shared" si="71"/>
        <v>53.242743730034555</v>
      </c>
      <c r="T475">
        <f t="shared" si="77"/>
        <v>259.91142860451657</v>
      </c>
      <c r="U475">
        <f t="shared" si="78"/>
        <v>25.081019822601721</v>
      </c>
    </row>
    <row r="476" spans="12:21" x14ac:dyDescent="0.55000000000000004">
      <c r="L476">
        <v>470</v>
      </c>
      <c r="M476">
        <f t="shared" si="70"/>
        <v>5.9061941887488114</v>
      </c>
      <c r="N476">
        <f t="shared" si="72"/>
        <v>767.37928990074272</v>
      </c>
      <c r="O476">
        <f t="shared" si="73"/>
        <v>120.29360101251137</v>
      </c>
      <c r="P476">
        <f t="shared" si="74"/>
        <v>625</v>
      </c>
      <c r="Q476">
        <f t="shared" si="75"/>
        <v>38.893095671510309</v>
      </c>
      <c r="R476">
        <f t="shared" si="76"/>
        <v>319.1210360313944</v>
      </c>
      <c r="S476">
        <f t="shared" si="71"/>
        <v>50.025090705829683</v>
      </c>
      <c r="T476">
        <f t="shared" si="77"/>
        <v>259.91142860451657</v>
      </c>
      <c r="U476">
        <f t="shared" si="78"/>
        <v>25.081019822601725</v>
      </c>
    </row>
    <row r="477" spans="12:21" x14ac:dyDescent="0.55000000000000004">
      <c r="L477">
        <v>471</v>
      </c>
      <c r="M477">
        <f t="shared" si="70"/>
        <v>5.9187605593631707</v>
      </c>
      <c r="N477">
        <f t="shared" si="72"/>
        <v>774.91231196154104</v>
      </c>
      <c r="O477">
        <f t="shared" si="73"/>
        <v>112.76057895171296</v>
      </c>
      <c r="P477">
        <f t="shared" si="74"/>
        <v>625</v>
      </c>
      <c r="Q477">
        <f t="shared" si="75"/>
        <v>38.893095671510309</v>
      </c>
      <c r="R477">
        <f t="shared" si="76"/>
        <v>322.25370567224468</v>
      </c>
      <c r="S477">
        <f t="shared" si="71"/>
        <v>46.892421064979352</v>
      </c>
      <c r="T477">
        <f t="shared" si="77"/>
        <v>259.91142860451657</v>
      </c>
      <c r="U477">
        <f t="shared" si="78"/>
        <v>25.081019822601725</v>
      </c>
    </row>
    <row r="478" spans="12:21" x14ac:dyDescent="0.55000000000000004">
      <c r="L478">
        <v>472</v>
      </c>
      <c r="M478">
        <f t="shared" si="70"/>
        <v>5.9313269299775291</v>
      </c>
      <c r="N478">
        <f t="shared" si="72"/>
        <v>782.23621940897283</v>
      </c>
      <c r="O478">
        <f t="shared" si="73"/>
        <v>105.43667150428111</v>
      </c>
      <c r="P478">
        <f t="shared" si="74"/>
        <v>625</v>
      </c>
      <c r="Q478">
        <f t="shared" si="75"/>
        <v>38.893095671510309</v>
      </c>
      <c r="R478">
        <f t="shared" si="76"/>
        <v>325.29941326845153</v>
      </c>
      <c r="S478">
        <f t="shared" si="71"/>
        <v>43.846713468772514</v>
      </c>
      <c r="T478">
        <f t="shared" si="77"/>
        <v>259.91142860451657</v>
      </c>
      <c r="U478">
        <f t="shared" si="78"/>
        <v>25.081019822601725</v>
      </c>
    </row>
    <row r="479" spans="12:21" x14ac:dyDescent="0.55000000000000004">
      <c r="L479">
        <v>473</v>
      </c>
      <c r="M479">
        <f t="shared" si="70"/>
        <v>5.9438933005918893</v>
      </c>
      <c r="N479">
        <f t="shared" si="72"/>
        <v>789.34638630611983</v>
      </c>
      <c r="O479">
        <f t="shared" si="73"/>
        <v>98.32650460713424</v>
      </c>
      <c r="P479">
        <f t="shared" si="74"/>
        <v>625</v>
      </c>
      <c r="Q479">
        <f t="shared" si="75"/>
        <v>38.893095671510309</v>
      </c>
      <c r="R479">
        <f t="shared" si="76"/>
        <v>328.25623508581793</v>
      </c>
      <c r="S479">
        <f t="shared" si="71"/>
        <v>40.889891651406145</v>
      </c>
      <c r="T479">
        <f t="shared" si="77"/>
        <v>259.91142860451657</v>
      </c>
      <c r="U479">
        <f t="shared" si="78"/>
        <v>25.081019822601725</v>
      </c>
    </row>
    <row r="480" spans="12:21" x14ac:dyDescent="0.55000000000000004">
      <c r="L480">
        <v>474</v>
      </c>
      <c r="M480">
        <f t="shared" si="70"/>
        <v>5.9564596712062476</v>
      </c>
      <c r="N480">
        <f t="shared" si="72"/>
        <v>796.23832171917229</v>
      </c>
      <c r="O480">
        <f t="shared" si="73"/>
        <v>91.434569194081703</v>
      </c>
      <c r="P480">
        <f t="shared" si="74"/>
        <v>625</v>
      </c>
      <c r="Q480">
        <f t="shared" si="75"/>
        <v>38.893095671510309</v>
      </c>
      <c r="R480">
        <f t="shared" si="76"/>
        <v>331.12230353230836</v>
      </c>
      <c r="S480">
        <f t="shared" si="71"/>
        <v>38.023823204915672</v>
      </c>
      <c r="T480">
        <f t="shared" si="77"/>
        <v>259.91142860451657</v>
      </c>
      <c r="U480">
        <f t="shared" si="78"/>
        <v>25.081019822601725</v>
      </c>
    </row>
    <row r="481" spans="12:21" x14ac:dyDescent="0.55000000000000004">
      <c r="L481">
        <v>475</v>
      </c>
      <c r="M481">
        <f t="shared" si="70"/>
        <v>5.9690260418206069</v>
      </c>
      <c r="N481">
        <f t="shared" si="72"/>
        <v>802.9076725540076</v>
      </c>
      <c r="O481">
        <f t="shared" si="73"/>
        <v>84.765218359246447</v>
      </c>
      <c r="P481">
        <f t="shared" si="74"/>
        <v>625</v>
      </c>
      <c r="Q481">
        <f t="shared" si="75"/>
        <v>38.893095671510309</v>
      </c>
      <c r="R481">
        <f t="shared" si="76"/>
        <v>333.8958083376632</v>
      </c>
      <c r="S481">
        <f t="shared" si="71"/>
        <v>35.250318399560861</v>
      </c>
      <c r="T481">
        <f t="shared" si="77"/>
        <v>259.91142860451657</v>
      </c>
      <c r="U481">
        <f t="shared" si="78"/>
        <v>25.081019822601725</v>
      </c>
    </row>
    <row r="482" spans="12:21" x14ac:dyDescent="0.55000000000000004">
      <c r="L482">
        <v>476</v>
      </c>
      <c r="M482">
        <f t="shared" si="70"/>
        <v>5.9815924124349662</v>
      </c>
      <c r="N482">
        <f t="shared" si="72"/>
        <v>809.35022630569085</v>
      </c>
      <c r="O482">
        <f t="shared" si="73"/>
        <v>78.322664607563183</v>
      </c>
      <c r="P482">
        <f t="shared" si="74"/>
        <v>625</v>
      </c>
      <c r="Q482">
        <f t="shared" si="75"/>
        <v>38.893095671510309</v>
      </c>
      <c r="R482">
        <f t="shared" si="76"/>
        <v>336.5749976968014</v>
      </c>
      <c r="S482">
        <f t="shared" si="71"/>
        <v>32.571129040422647</v>
      </c>
      <c r="T482">
        <f t="shared" si="77"/>
        <v>259.91142860451657</v>
      </c>
      <c r="U482">
        <f t="shared" si="78"/>
        <v>25.081019822601725</v>
      </c>
    </row>
    <row r="483" spans="12:21" x14ac:dyDescent="0.55000000000000004">
      <c r="L483">
        <v>477</v>
      </c>
      <c r="M483">
        <f t="shared" si="70"/>
        <v>5.9941587830493255</v>
      </c>
      <c r="N483">
        <f t="shared" si="72"/>
        <v>815.56191371918669</v>
      </c>
      <c r="O483">
        <f t="shared" si="73"/>
        <v>72.110977194067274</v>
      </c>
      <c r="P483">
        <f t="shared" si="74"/>
        <v>625</v>
      </c>
      <c r="Q483">
        <f t="shared" si="75"/>
        <v>38.893095671510309</v>
      </c>
      <c r="R483">
        <f t="shared" si="76"/>
        <v>339.15817937629964</v>
      </c>
      <c r="S483">
        <f t="shared" si="71"/>
        <v>29.98794736092438</v>
      </c>
      <c r="T483">
        <f t="shared" si="77"/>
        <v>259.91142860451657</v>
      </c>
      <c r="U483">
        <f t="shared" si="78"/>
        <v>25.081019822601721</v>
      </c>
    </row>
    <row r="484" spans="12:21" x14ac:dyDescent="0.55000000000000004">
      <c r="L484">
        <v>478</v>
      </c>
      <c r="M484">
        <f t="shared" si="70"/>
        <v>6.0067251536636839</v>
      </c>
      <c r="N484">
        <f t="shared" si="72"/>
        <v>821.53881135958704</v>
      </c>
      <c r="O484">
        <f t="shared" si="73"/>
        <v>66.134079553667064</v>
      </c>
      <c r="P484">
        <f t="shared" si="74"/>
        <v>625</v>
      </c>
      <c r="Q484">
        <f t="shared" si="75"/>
        <v>38.893095671510309</v>
      </c>
      <c r="R484">
        <f t="shared" si="76"/>
        <v>341.64372178324271</v>
      </c>
      <c r="S484">
        <f t="shared" si="71"/>
        <v>27.502404953981365</v>
      </c>
      <c r="T484">
        <f t="shared" si="77"/>
        <v>259.91142860451657</v>
      </c>
      <c r="U484">
        <f t="shared" si="78"/>
        <v>25.081019822601725</v>
      </c>
    </row>
    <row r="485" spans="12:21" x14ac:dyDescent="0.55000000000000004">
      <c r="L485">
        <v>479</v>
      </c>
      <c r="M485">
        <f t="shared" si="70"/>
        <v>6.019291524278044</v>
      </c>
      <c r="N485">
        <f t="shared" si="72"/>
        <v>827.2771440902377</v>
      </c>
      <c r="O485">
        <f t="shared" si="73"/>
        <v>60.39574682301626</v>
      </c>
      <c r="P485">
        <f t="shared" si="74"/>
        <v>625</v>
      </c>
      <c r="Q485">
        <f t="shared" si="75"/>
        <v>38.893095671510309</v>
      </c>
      <c r="R485">
        <f t="shared" si="76"/>
        <v>344.03005499577307</v>
      </c>
      <c r="S485">
        <f t="shared" si="71"/>
        <v>25.116071741450956</v>
      </c>
      <c r="T485">
        <f t="shared" si="77"/>
        <v>259.91142860451657</v>
      </c>
      <c r="U485">
        <f t="shared" si="78"/>
        <v>25.081019822601725</v>
      </c>
    </row>
    <row r="486" spans="12:21" x14ac:dyDescent="0.55000000000000004">
      <c r="L486">
        <v>480</v>
      </c>
      <c r="M486">
        <f t="shared" si="70"/>
        <v>6.0318578948924024</v>
      </c>
      <c r="N486">
        <f t="shared" si="72"/>
        <v>832.77328745719296</v>
      </c>
      <c r="O486">
        <f t="shared" si="73"/>
        <v>54.899603456061101</v>
      </c>
      <c r="P486">
        <f t="shared" si="74"/>
        <v>625</v>
      </c>
      <c r="Q486">
        <f t="shared" si="75"/>
        <v>38.893095671510309</v>
      </c>
      <c r="R486">
        <f t="shared" si="76"/>
        <v>346.31567175468598</v>
      </c>
      <c r="S486">
        <f t="shared" si="71"/>
        <v>22.830454982538072</v>
      </c>
      <c r="T486">
        <f t="shared" si="77"/>
        <v>259.91142860451657</v>
      </c>
      <c r="U486">
        <f t="shared" si="78"/>
        <v>25.081019822601725</v>
      </c>
    </row>
    <row r="487" spans="12:21" x14ac:dyDescent="0.55000000000000004">
      <c r="L487">
        <v>481</v>
      </c>
      <c r="M487">
        <f t="shared" si="70"/>
        <v>6.0444242655067617</v>
      </c>
      <c r="N487">
        <f t="shared" si="72"/>
        <v>838.02376997850206</v>
      </c>
      <c r="O487">
        <f t="shared" si="73"/>
        <v>49.649120934752041</v>
      </c>
      <c r="P487">
        <f t="shared" si="74"/>
        <v>625</v>
      </c>
      <c r="Q487">
        <f t="shared" si="75"/>
        <v>38.893095671510309</v>
      </c>
      <c r="R487">
        <f t="shared" si="76"/>
        <v>348.49912841544835</v>
      </c>
      <c r="S487">
        <f t="shared" si="71"/>
        <v>20.646998321775701</v>
      </c>
      <c r="T487">
        <f t="shared" si="77"/>
        <v>259.91142860451657</v>
      </c>
      <c r="U487">
        <f t="shared" si="78"/>
        <v>25.081019822601725</v>
      </c>
    </row>
    <row r="488" spans="12:21" x14ac:dyDescent="0.55000000000000004">
      <c r="L488">
        <v>482</v>
      </c>
      <c r="M488">
        <f t="shared" si="70"/>
        <v>6.0569906361211219</v>
      </c>
      <c r="N488">
        <f t="shared" si="72"/>
        <v>843.02527533686873</v>
      </c>
      <c r="O488">
        <f t="shared" si="73"/>
        <v>44.647615576385277</v>
      </c>
      <c r="P488">
        <f t="shared" si="74"/>
        <v>625</v>
      </c>
      <c r="Q488">
        <f t="shared" si="75"/>
        <v>38.893095671510309</v>
      </c>
      <c r="R488">
        <f t="shared" si="76"/>
        <v>350.57904586003434</v>
      </c>
      <c r="S488">
        <f t="shared" si="71"/>
        <v>18.567080877189703</v>
      </c>
      <c r="T488">
        <f t="shared" si="77"/>
        <v>259.91142860451657</v>
      </c>
      <c r="U488">
        <f t="shared" si="78"/>
        <v>25.081019822601725</v>
      </c>
    </row>
    <row r="489" spans="12:21" x14ac:dyDescent="0.55000000000000004">
      <c r="L489">
        <v>483</v>
      </c>
      <c r="M489">
        <f t="shared" si="70"/>
        <v>6.0695570067354803</v>
      </c>
      <c r="N489">
        <f t="shared" si="72"/>
        <v>847.77464447430862</v>
      </c>
      <c r="O489">
        <f t="shared" si="73"/>
        <v>39.898246438945442</v>
      </c>
      <c r="P489">
        <f t="shared" si="74"/>
        <v>625</v>
      </c>
      <c r="Q489">
        <f t="shared" si="75"/>
        <v>38.893095671510309</v>
      </c>
      <c r="R489">
        <f t="shared" si="76"/>
        <v>352.55411036800587</v>
      </c>
      <c r="S489">
        <f t="shared" si="71"/>
        <v>16.5920163692182</v>
      </c>
      <c r="T489">
        <f t="shared" si="77"/>
        <v>259.91142860451657</v>
      </c>
      <c r="U489">
        <f t="shared" si="78"/>
        <v>25.081019822601725</v>
      </c>
    </row>
    <row r="490" spans="12:21" x14ac:dyDescent="0.55000000000000004">
      <c r="L490">
        <v>484</v>
      </c>
      <c r="M490">
        <f t="shared" si="70"/>
        <v>6.0821233773498395</v>
      </c>
      <c r="N490">
        <f t="shared" si="72"/>
        <v>852.26887758748023</v>
      </c>
      <c r="O490">
        <f t="shared" si="73"/>
        <v>35.404013325773846</v>
      </c>
      <c r="P490">
        <f t="shared" si="74"/>
        <v>625</v>
      </c>
      <c r="Q490">
        <f t="shared" si="75"/>
        <v>38.893095671510309</v>
      </c>
      <c r="R490">
        <f t="shared" si="76"/>
        <v>354.42307444628773</v>
      </c>
      <c r="S490">
        <f t="shared" si="71"/>
        <v>14.723052290936355</v>
      </c>
      <c r="T490">
        <f t="shared" si="77"/>
        <v>259.91142860451657</v>
      </c>
      <c r="U490">
        <f t="shared" si="78"/>
        <v>25.081019822601725</v>
      </c>
    </row>
    <row r="491" spans="12:21" x14ac:dyDescent="0.55000000000000004">
      <c r="L491">
        <v>485</v>
      </c>
      <c r="M491">
        <f t="shared" si="70"/>
        <v>6.0946897479641988</v>
      </c>
      <c r="N491">
        <f t="shared" si="72"/>
        <v>856.50513602242233</v>
      </c>
      <c r="O491">
        <f t="shared" si="73"/>
        <v>31.167754890831802</v>
      </c>
      <c r="P491">
        <f t="shared" si="74"/>
        <v>625</v>
      </c>
      <c r="Q491">
        <f t="shared" si="75"/>
        <v>38.893095671510309</v>
      </c>
      <c r="R491">
        <f t="shared" si="76"/>
        <v>356.18475761710971</v>
      </c>
      <c r="S491">
        <f t="shared" si="71"/>
        <v>12.961369120114403</v>
      </c>
      <c r="T491">
        <f t="shared" si="77"/>
        <v>259.91142860451657</v>
      </c>
      <c r="U491">
        <f t="shared" si="78"/>
        <v>25.081019822601725</v>
      </c>
    </row>
    <row r="492" spans="12:21" x14ac:dyDescent="0.55000000000000004">
      <c r="L492">
        <v>486</v>
      </c>
      <c r="M492">
        <f t="shared" si="70"/>
        <v>6.1072561185785581</v>
      </c>
      <c r="N492">
        <f t="shared" si="72"/>
        <v>860.48074406750993</v>
      </c>
      <c r="O492">
        <f t="shared" si="73"/>
        <v>27.192146845744251</v>
      </c>
      <c r="P492">
        <f t="shared" si="74"/>
        <v>625</v>
      </c>
      <c r="Q492">
        <f t="shared" si="75"/>
        <v>38.893095671510309</v>
      </c>
      <c r="R492">
        <f t="shared" si="76"/>
        <v>357.83804716362221</v>
      </c>
      <c r="S492">
        <f t="shared" si="71"/>
        <v>11.308079573601898</v>
      </c>
      <c r="T492">
        <f t="shared" si="77"/>
        <v>259.91142860451657</v>
      </c>
      <c r="U492">
        <f t="shared" si="78"/>
        <v>25.081019822601725</v>
      </c>
    </row>
    <row r="493" spans="12:21" x14ac:dyDescent="0.55000000000000004">
      <c r="L493">
        <v>487</v>
      </c>
      <c r="M493">
        <f t="shared" si="70"/>
        <v>6.1198224891929165</v>
      </c>
      <c r="N493">
        <f t="shared" si="72"/>
        <v>864.19319064349042</v>
      </c>
      <c r="O493">
        <f t="shared" si="73"/>
        <v>23.479700269763509</v>
      </c>
      <c r="P493">
        <f t="shared" si="74"/>
        <v>625</v>
      </c>
      <c r="Q493">
        <f t="shared" si="75"/>
        <v>38.893095671510309</v>
      </c>
      <c r="R493">
        <f t="shared" si="76"/>
        <v>359.3818988327119</v>
      </c>
      <c r="S493">
        <f t="shared" si="71"/>
        <v>9.7642279045121363</v>
      </c>
      <c r="T493">
        <f t="shared" si="77"/>
        <v>259.91142860451657</v>
      </c>
      <c r="U493">
        <f t="shared" si="78"/>
        <v>25.081019822601725</v>
      </c>
    </row>
    <row r="494" spans="12:21" x14ac:dyDescent="0.55000000000000004">
      <c r="L494">
        <v>488</v>
      </c>
      <c r="M494">
        <f t="shared" si="70"/>
        <v>6.1323888598072767</v>
      </c>
      <c r="N494">
        <f t="shared" si="72"/>
        <v>867.64013088953743</v>
      </c>
      <c r="O494">
        <f t="shared" si="73"/>
        <v>20.032760023716563</v>
      </c>
      <c r="P494">
        <f t="shared" si="74"/>
        <v>625</v>
      </c>
      <c r="Q494">
        <f t="shared" si="75"/>
        <v>38.893095671510309</v>
      </c>
      <c r="R494">
        <f t="shared" si="76"/>
        <v>360.81533749457503</v>
      </c>
      <c r="S494">
        <f t="shared" si="71"/>
        <v>8.3307892426489918</v>
      </c>
      <c r="T494">
        <f t="shared" si="77"/>
        <v>259.91142860451657</v>
      </c>
      <c r="U494">
        <f t="shared" si="78"/>
        <v>25.081019822601725</v>
      </c>
    </row>
    <row r="495" spans="12:21" x14ac:dyDescent="0.55000000000000004">
      <c r="L495">
        <v>489</v>
      </c>
      <c r="M495">
        <f t="shared" si="70"/>
        <v>6.1449552304216351</v>
      </c>
      <c r="N495">
        <f t="shared" si="72"/>
        <v>870.81938764431072</v>
      </c>
      <c r="O495">
        <f t="shared" si="73"/>
        <v>16.853503268943445</v>
      </c>
      <c r="P495">
        <f t="shared" si="74"/>
        <v>625</v>
      </c>
      <c r="Q495">
        <f t="shared" si="75"/>
        <v>38.893095671510309</v>
      </c>
      <c r="R495">
        <f t="shared" si="76"/>
        <v>362.1374577586289</v>
      </c>
      <c r="S495">
        <f t="shared" si="71"/>
        <v>7.0086689785951686</v>
      </c>
      <c r="T495">
        <f t="shared" si="77"/>
        <v>259.91142860451657</v>
      </c>
      <c r="U495">
        <f t="shared" si="78"/>
        <v>25.081019822601725</v>
      </c>
    </row>
    <row r="496" spans="12:21" x14ac:dyDescent="0.55000000000000004">
      <c r="L496">
        <v>490</v>
      </c>
      <c r="M496">
        <f t="shared" si="70"/>
        <v>6.1575216010359943</v>
      </c>
      <c r="N496">
        <f t="shared" si="72"/>
        <v>873.72895282110198</v>
      </c>
      <c r="O496">
        <f t="shared" si="73"/>
        <v>13.943938092152043</v>
      </c>
      <c r="P496">
        <f t="shared" si="74"/>
        <v>625</v>
      </c>
      <c r="Q496">
        <f t="shared" si="75"/>
        <v>38.893095671510309</v>
      </c>
      <c r="R496">
        <f t="shared" si="76"/>
        <v>363.34742454537735</v>
      </c>
      <c r="S496">
        <f t="shared" si="71"/>
        <v>5.7987021918466795</v>
      </c>
      <c r="T496">
        <f t="shared" si="77"/>
        <v>259.91142860451657</v>
      </c>
      <c r="U496">
        <f t="shared" si="78"/>
        <v>25.081019822601725</v>
      </c>
    </row>
    <row r="497" spans="12:21" x14ac:dyDescent="0.55000000000000004">
      <c r="L497">
        <v>491</v>
      </c>
      <c r="M497">
        <f t="shared" si="70"/>
        <v>6.1700879716503545</v>
      </c>
      <c r="N497">
        <f t="shared" si="72"/>
        <v>876.36698867618406</v>
      </c>
      <c r="O497">
        <f t="shared" si="73"/>
        <v>11.305902237069958</v>
      </c>
      <c r="P497">
        <f t="shared" si="74"/>
        <v>625</v>
      </c>
      <c r="Q497">
        <f t="shared" si="75"/>
        <v>38.893095671510309</v>
      </c>
      <c r="R497">
        <f t="shared" si="76"/>
        <v>364.44447361386432</v>
      </c>
      <c r="S497">
        <f t="shared" si="71"/>
        <v>4.7016531233597636</v>
      </c>
      <c r="T497">
        <f t="shared" si="77"/>
        <v>259.91142860451657</v>
      </c>
      <c r="U497">
        <f t="shared" si="78"/>
        <v>25.081019822601725</v>
      </c>
    </row>
    <row r="498" spans="12:21" x14ac:dyDescent="0.55000000000000004">
      <c r="L498">
        <v>492</v>
      </c>
      <c r="M498">
        <f t="shared" si="70"/>
        <v>6.1826543422647129</v>
      </c>
      <c r="N498">
        <f t="shared" si="72"/>
        <v>878.73182896956826</v>
      </c>
      <c r="O498">
        <f t="shared" si="73"/>
        <v>8.9410619436858614</v>
      </c>
      <c r="P498">
        <f t="shared" si="74"/>
        <v>625</v>
      </c>
      <c r="Q498">
        <f t="shared" si="75"/>
        <v>38.893095671510309</v>
      </c>
      <c r="R498">
        <f t="shared" si="76"/>
        <v>365.4279120443843</v>
      </c>
      <c r="S498">
        <f t="shared" si="71"/>
        <v>3.7182146928397879</v>
      </c>
      <c r="T498">
        <f t="shared" si="77"/>
        <v>259.91142860451657</v>
      </c>
      <c r="U498">
        <f t="shared" si="78"/>
        <v>25.081019822601725</v>
      </c>
    </row>
    <row r="499" spans="12:21" x14ac:dyDescent="0.55000000000000004">
      <c r="L499">
        <v>493</v>
      </c>
      <c r="M499">
        <f t="shared" si="70"/>
        <v>6.1952207128790722</v>
      </c>
      <c r="N499">
        <f t="shared" si="72"/>
        <v>880.82198001743893</v>
      </c>
      <c r="O499">
        <f t="shared" si="73"/>
        <v>6.850910895815093</v>
      </c>
      <c r="P499">
        <f t="shared" si="74"/>
        <v>625</v>
      </c>
      <c r="Q499">
        <f t="shared" si="75"/>
        <v>38.893095671510309</v>
      </c>
      <c r="R499">
        <f t="shared" si="76"/>
        <v>366.2971186761464</v>
      </c>
      <c r="S499">
        <f t="shared" si="71"/>
        <v>2.8490080610776785</v>
      </c>
      <c r="T499">
        <f t="shared" si="77"/>
        <v>259.91142860451657</v>
      </c>
      <c r="U499">
        <f t="shared" si="78"/>
        <v>25.081019822601725</v>
      </c>
    </row>
    <row r="500" spans="12:21" x14ac:dyDescent="0.55000000000000004">
      <c r="L500">
        <v>494</v>
      </c>
      <c r="M500">
        <f t="shared" si="70"/>
        <v>6.2077870834934314</v>
      </c>
      <c r="N500">
        <f t="shared" si="72"/>
        <v>882.63612163559526</v>
      </c>
      <c r="O500">
        <f t="shared" si="73"/>
        <v>5.0367692776587099</v>
      </c>
      <c r="P500">
        <f t="shared" si="74"/>
        <v>625</v>
      </c>
      <c r="Q500">
        <f t="shared" si="75"/>
        <v>38.893095671510309</v>
      </c>
      <c r="R500">
        <f t="shared" si="76"/>
        <v>367.05154449961185</v>
      </c>
      <c r="S500">
        <f t="shared" si="71"/>
        <v>2.0945822376121828</v>
      </c>
      <c r="T500">
        <f t="shared" si="77"/>
        <v>259.91142860451657</v>
      </c>
      <c r="U500">
        <f t="shared" si="78"/>
        <v>25.081019822601725</v>
      </c>
    </row>
    <row r="501" spans="12:21" x14ac:dyDescent="0.55000000000000004">
      <c r="L501">
        <v>495</v>
      </c>
      <c r="M501">
        <f t="shared" si="70"/>
        <v>6.2203534541077907</v>
      </c>
      <c r="N501">
        <f t="shared" si="72"/>
        <v>884.17310797330799</v>
      </c>
      <c r="O501">
        <f t="shared" si="73"/>
        <v>3.4997829399459599</v>
      </c>
      <c r="P501">
        <f t="shared" si="74"/>
        <v>625</v>
      </c>
      <c r="Q501">
        <f t="shared" si="75"/>
        <v>38.893095671510309</v>
      </c>
      <c r="R501">
        <f t="shared" si="76"/>
        <v>367.69071300326073</v>
      </c>
      <c r="S501">
        <f t="shared" si="71"/>
        <v>1.4554137339633111</v>
      </c>
      <c r="T501">
        <f t="shared" si="77"/>
        <v>259.91142860451657</v>
      </c>
      <c r="U501">
        <f t="shared" si="78"/>
        <v>25.081019822601725</v>
      </c>
    </row>
    <row r="502" spans="12:21" x14ac:dyDescent="0.55000000000000004">
      <c r="L502">
        <v>496</v>
      </c>
      <c r="M502">
        <f t="shared" si="70"/>
        <v>6.2329198247221491</v>
      </c>
      <c r="N502">
        <f t="shared" si="72"/>
        <v>885.43196823706342</v>
      </c>
      <c r="O502">
        <f t="shared" si="73"/>
        <v>2.2409226761906686</v>
      </c>
      <c r="P502">
        <f t="shared" si="74"/>
        <v>625</v>
      </c>
      <c r="Q502">
        <f t="shared" si="75"/>
        <v>38.893095671510309</v>
      </c>
      <c r="R502">
        <f t="shared" si="76"/>
        <v>368.2142204745665</v>
      </c>
      <c r="S502">
        <f t="shared" si="71"/>
        <v>0.93190626265755694</v>
      </c>
      <c r="T502">
        <f t="shared" si="77"/>
        <v>259.91142860451657</v>
      </c>
      <c r="U502">
        <f t="shared" si="78"/>
        <v>25.081019822601725</v>
      </c>
    </row>
    <row r="503" spans="12:21" x14ac:dyDescent="0.55000000000000004">
      <c r="L503">
        <v>497</v>
      </c>
      <c r="M503">
        <f t="shared" si="70"/>
        <v>6.2454861953365093</v>
      </c>
      <c r="N503">
        <f t="shared" si="72"/>
        <v>886.41190730373717</v>
      </c>
      <c r="O503">
        <f t="shared" si="73"/>
        <v>1.2609836095168399</v>
      </c>
      <c r="P503">
        <f t="shared" si="74"/>
        <v>625</v>
      </c>
      <c r="Q503">
        <f t="shared" si="75"/>
        <v>38.893095671510309</v>
      </c>
      <c r="R503">
        <f t="shared" si="76"/>
        <v>368.6217362549898</v>
      </c>
      <c r="S503">
        <f t="shared" si="71"/>
        <v>0.52439048223424278</v>
      </c>
      <c r="T503">
        <f t="shared" si="77"/>
        <v>259.91142860451657</v>
      </c>
      <c r="U503">
        <f t="shared" si="78"/>
        <v>25.081019822601725</v>
      </c>
    </row>
    <row r="504" spans="12:21" x14ac:dyDescent="0.55000000000000004">
      <c r="L504">
        <v>498</v>
      </c>
      <c r="M504">
        <f t="shared" si="70"/>
        <v>6.2580525659508677</v>
      </c>
      <c r="N504">
        <f t="shared" si="72"/>
        <v>887.1123062228113</v>
      </c>
      <c r="O504">
        <f t="shared" si="73"/>
        <v>0.56058469044268844</v>
      </c>
      <c r="P504">
        <f t="shared" si="74"/>
        <v>625</v>
      </c>
      <c r="Q504">
        <f t="shared" si="75"/>
        <v>38.893095671510309</v>
      </c>
      <c r="R504">
        <f t="shared" si="76"/>
        <v>368.91300294882916</v>
      </c>
      <c r="S504">
        <f t="shared" si="71"/>
        <v>0.23312378839484771</v>
      </c>
      <c r="T504">
        <f t="shared" si="77"/>
        <v>259.91142860451657</v>
      </c>
      <c r="U504">
        <f t="shared" si="78"/>
        <v>25.081019822601721</v>
      </c>
    </row>
    <row r="505" spans="12:21" x14ac:dyDescent="0.55000000000000004">
      <c r="L505">
        <v>499</v>
      </c>
      <c r="M505">
        <f t="shared" si="70"/>
        <v>6.270618936565227</v>
      </c>
      <c r="N505">
        <f t="shared" si="72"/>
        <v>887.53272260731683</v>
      </c>
      <c r="O505">
        <f t="shared" si="73"/>
        <v>0.14016830593725316</v>
      </c>
      <c r="P505">
        <f t="shared" si="74"/>
        <v>625</v>
      </c>
      <c r="Q505">
        <f t="shared" si="75"/>
        <v>38.893095671510309</v>
      </c>
      <c r="R505">
        <f t="shared" si="76"/>
        <v>369.08783658579807</v>
      </c>
      <c r="S505">
        <f t="shared" si="71"/>
        <v>5.829015142596225E-2</v>
      </c>
      <c r="T505">
        <f t="shared" si="77"/>
        <v>259.91142860451657</v>
      </c>
      <c r="U505">
        <f t="shared" si="78"/>
        <v>25.081019822601725</v>
      </c>
    </row>
    <row r="506" spans="12:21" x14ac:dyDescent="0.55000000000000004">
      <c r="L506">
        <v>500</v>
      </c>
      <c r="M506">
        <f t="shared" si="70"/>
        <v>6.2831853071795862</v>
      </c>
      <c r="N506">
        <f t="shared" si="72"/>
        <v>887.67289091325404</v>
      </c>
      <c r="O506">
        <f t="shared" si="73"/>
        <v>5.32954804405947E-29</v>
      </c>
      <c r="P506">
        <f t="shared" si="74"/>
        <v>625</v>
      </c>
      <c r="Q506">
        <f t="shared" si="75"/>
        <v>38.893095671510309</v>
      </c>
      <c r="R506">
        <f t="shared" si="76"/>
        <v>369.14612673722405</v>
      </c>
      <c r="S506">
        <f t="shared" si="71"/>
        <v>2.2163367135166461E-29</v>
      </c>
      <c r="T506">
        <f t="shared" si="77"/>
        <v>259.91142860451657</v>
      </c>
      <c r="U506">
        <f t="shared" si="78"/>
        <v>25.081019822601725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真由子 岡田</dc:creator>
  <cp:lastModifiedBy>真由子 岡田</cp:lastModifiedBy>
  <dcterms:created xsi:type="dcterms:W3CDTF">2026-01-04T13:27:46Z</dcterms:created>
  <dcterms:modified xsi:type="dcterms:W3CDTF">2026-01-06T10:12:17Z</dcterms:modified>
</cp:coreProperties>
</file>